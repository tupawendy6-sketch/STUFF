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otagonistas\Desktop\"/>
    </mc:Choice>
  </mc:AlternateContent>
  <xr:revisionPtr revIDLastSave="0" documentId="13_ncr:1_{FAE7FB37-3E19-48F7-9070-D62DCA596567}" xr6:coauthVersionLast="47" xr6:coauthVersionMax="47" xr10:uidLastSave="{00000000-0000-0000-0000-000000000000}"/>
  <bookViews>
    <workbookView xWindow="-120" yWindow="-120" windowWidth="20730" windowHeight="11160" tabRatio="768" activeTab="4" xr2:uid="{00000000-000D-0000-FFFF-FFFF00000000}"/>
  </bookViews>
  <sheets>
    <sheet name="EJERC1" sheetId="9" r:id="rId1"/>
    <sheet name="EJERC2" sheetId="10" r:id="rId2"/>
    <sheet name="EJERC4" sheetId="4" r:id="rId3"/>
    <sheet name="EJERC5" sheetId="8" r:id="rId4"/>
    <sheet name="EJERC 6" sheetId="7" r:id="rId5"/>
  </sheets>
  <definedNames>
    <definedName name="_xlnm._FilterDatabase" localSheetId="4" hidden="1">'EJERC 6'!$A$7:$G$107</definedName>
    <definedName name="breña">#REF!</definedName>
    <definedName name="lince">#REF!</definedName>
    <definedName name="surc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8" l="1"/>
  <c r="L8" i="8"/>
  <c r="L9" i="8"/>
  <c r="L10" i="8"/>
  <c r="M8" i="8"/>
  <c r="M9" i="8"/>
  <c r="M10" i="8"/>
  <c r="M7" i="8"/>
  <c r="K8" i="8" l="1"/>
  <c r="K9" i="8"/>
  <c r="K10" i="8"/>
  <c r="K7" i="8"/>
  <c r="J25" i="9" l="1"/>
  <c r="K13" i="9" l="1"/>
  <c r="K14" i="9"/>
  <c r="J19" i="9"/>
  <c r="J20" i="9"/>
  <c r="J21" i="9"/>
  <c r="J22" i="9"/>
  <c r="J23" i="9"/>
  <c r="J24" i="9"/>
</calcChain>
</file>

<file path=xl/sharedStrings.xml><?xml version="1.0" encoding="utf-8"?>
<sst xmlns="http://schemas.openxmlformats.org/spreadsheetml/2006/main" count="955" uniqueCount="236">
  <si>
    <t>Word</t>
  </si>
  <si>
    <t>Excel</t>
  </si>
  <si>
    <t>Access</t>
  </si>
  <si>
    <t>Nombre</t>
  </si>
  <si>
    <t>Condicion</t>
  </si>
  <si>
    <t>Isabel</t>
  </si>
  <si>
    <t>Pedro</t>
  </si>
  <si>
    <t>Luis</t>
  </si>
  <si>
    <t>Ricardo</t>
  </si>
  <si>
    <t>Diana</t>
  </si>
  <si>
    <t>Mercedes</t>
  </si>
  <si>
    <t>Ernesto</t>
  </si>
  <si>
    <t>Curso</t>
  </si>
  <si>
    <t>Windows</t>
  </si>
  <si>
    <t>Mañana</t>
  </si>
  <si>
    <t>Tarde</t>
  </si>
  <si>
    <t>REGISTRO DE NOTAS</t>
  </si>
  <si>
    <t>P1</t>
  </si>
  <si>
    <t>P2</t>
  </si>
  <si>
    <t>P3</t>
  </si>
  <si>
    <t>P4</t>
  </si>
  <si>
    <t>P5</t>
  </si>
  <si>
    <t>P6</t>
  </si>
  <si>
    <t>Prom</t>
  </si>
  <si>
    <t>Mayor</t>
  </si>
  <si>
    <t>Menor</t>
  </si>
  <si>
    <t>B</t>
  </si>
  <si>
    <t>A</t>
  </si>
  <si>
    <t>Tania</t>
  </si>
  <si>
    <t>Inés</t>
  </si>
  <si>
    <t>Vladimir</t>
  </si>
  <si>
    <t>Carlos</t>
  </si>
  <si>
    <t>Enrique</t>
  </si>
  <si>
    <t>Giannina</t>
  </si>
  <si>
    <t>Angel</t>
  </si>
  <si>
    <t>Nancy</t>
  </si>
  <si>
    <t>Rubén</t>
  </si>
  <si>
    <t>Amelia</t>
  </si>
  <si>
    <t>Alejandro</t>
  </si>
  <si>
    <t>Edson</t>
  </si>
  <si>
    <t>Arturo</t>
  </si>
  <si>
    <t>Ronald</t>
  </si>
  <si>
    <t>Iván</t>
  </si>
  <si>
    <t>Cynthia</t>
  </si>
  <si>
    <t>Raúl</t>
  </si>
  <si>
    <t>Faustino</t>
  </si>
  <si>
    <t>Jorge</t>
  </si>
  <si>
    <t>Alicia</t>
  </si>
  <si>
    <t>Erika</t>
  </si>
  <si>
    <t>Alejandrina</t>
  </si>
  <si>
    <t>Natividad</t>
  </si>
  <si>
    <t>Jesús</t>
  </si>
  <si>
    <t>Región</t>
  </si>
  <si>
    <t>Neto a
Pagar</t>
  </si>
  <si>
    <t>Nota</t>
  </si>
  <si>
    <t>Observación</t>
  </si>
  <si>
    <t>código</t>
  </si>
  <si>
    <t>Adán</t>
  </si>
  <si>
    <t>Este</t>
  </si>
  <si>
    <t>Desaprobado</t>
  </si>
  <si>
    <t>Alberto</t>
  </si>
  <si>
    <t>Alcides</t>
  </si>
  <si>
    <t>Sur</t>
  </si>
  <si>
    <t>Aprobado</t>
  </si>
  <si>
    <t>Oeste</t>
  </si>
  <si>
    <t>Alex</t>
  </si>
  <si>
    <t>Alfonso</t>
  </si>
  <si>
    <t>Alfredo</t>
  </si>
  <si>
    <t>Power Point</t>
  </si>
  <si>
    <t>Centro</t>
  </si>
  <si>
    <t>Alonso</t>
  </si>
  <si>
    <t>Norte</t>
  </si>
  <si>
    <t>Ana</t>
  </si>
  <si>
    <t>Andrés</t>
  </si>
  <si>
    <t>Antonio</t>
  </si>
  <si>
    <t>Armando</t>
  </si>
  <si>
    <t>Aurelio</t>
  </si>
  <si>
    <t>Carmen</t>
  </si>
  <si>
    <t>Dagoberto</t>
  </si>
  <si>
    <t>Daniel</t>
  </si>
  <si>
    <t>Dany</t>
  </si>
  <si>
    <t>Dominga</t>
  </si>
  <si>
    <t>Elba</t>
  </si>
  <si>
    <t>Elías</t>
  </si>
  <si>
    <t>Elisa</t>
  </si>
  <si>
    <t>Fabiola</t>
  </si>
  <si>
    <t>Florencio</t>
  </si>
  <si>
    <t>Gabriel</t>
  </si>
  <si>
    <t>Gertrudis</t>
  </si>
  <si>
    <t>Giovanna</t>
  </si>
  <si>
    <t>Heli</t>
  </si>
  <si>
    <t>Irazema</t>
  </si>
  <si>
    <t>Israel</t>
  </si>
  <si>
    <t>Janeth</t>
  </si>
  <si>
    <t>Javier</t>
  </si>
  <si>
    <t>Jenny</t>
  </si>
  <si>
    <t>Joel</t>
  </si>
  <si>
    <t>José</t>
  </si>
  <si>
    <t>Josué</t>
  </si>
  <si>
    <t>Juan</t>
  </si>
  <si>
    <t>Leonidas</t>
  </si>
  <si>
    <t>Lidia</t>
  </si>
  <si>
    <t>Lizeth</t>
  </si>
  <si>
    <t>Magaly</t>
  </si>
  <si>
    <t>Manuel</t>
  </si>
  <si>
    <t>Marcos</t>
  </si>
  <si>
    <t>María</t>
  </si>
  <si>
    <t>Marina</t>
  </si>
  <si>
    <t>Mario</t>
  </si>
  <si>
    <t>Marita</t>
  </si>
  <si>
    <t>Maritza</t>
  </si>
  <si>
    <t>Moisés</t>
  </si>
  <si>
    <t>Noé</t>
  </si>
  <si>
    <t>Octavio</t>
  </si>
  <si>
    <t>Oscar</t>
  </si>
  <si>
    <t>Patricia</t>
  </si>
  <si>
    <t>Rafael</t>
  </si>
  <si>
    <t>Raquel</t>
  </si>
  <si>
    <t>Regina</t>
  </si>
  <si>
    <t>Renán</t>
  </si>
  <si>
    <t>Roberto</t>
  </si>
  <si>
    <t>Romell</t>
  </si>
  <si>
    <t>Ronaldo</t>
  </si>
  <si>
    <t>Salomón</t>
  </si>
  <si>
    <t>Sonia</t>
  </si>
  <si>
    <t>Teresa</t>
  </si>
  <si>
    <t>Ulises</t>
  </si>
  <si>
    <t>Vanessa</t>
  </si>
  <si>
    <t>Viviana</t>
  </si>
  <si>
    <t>Walter</t>
  </si>
  <si>
    <t>William</t>
  </si>
  <si>
    <t>Yenny</t>
  </si>
  <si>
    <t>Yesenia</t>
  </si>
  <si>
    <t>Zaida</t>
  </si>
  <si>
    <t>Dávila</t>
  </si>
  <si>
    <t>García</t>
  </si>
  <si>
    <t>Perez</t>
  </si>
  <si>
    <t>Pinto</t>
  </si>
  <si>
    <t>Girio</t>
  </si>
  <si>
    <t>Pedraza</t>
  </si>
  <si>
    <t>Grados</t>
  </si>
  <si>
    <t>Masias</t>
  </si>
  <si>
    <t>Valencia</t>
  </si>
  <si>
    <t>Carranza</t>
  </si>
  <si>
    <t>Gil</t>
  </si>
  <si>
    <t>Promedio de Notas del (Curso de Word en el Sur + Windows en el Norte)</t>
  </si>
  <si>
    <t>Promedio de Notas de la (Region Norte Desaprobado + Sur Aprobado)</t>
  </si>
  <si>
    <t>Cueva</t>
  </si>
  <si>
    <t>Lima</t>
  </si>
  <si>
    <t>Ford</t>
  </si>
  <si>
    <t>Automovil</t>
  </si>
  <si>
    <t>El Triunfo</t>
  </si>
  <si>
    <t>Alva</t>
  </si>
  <si>
    <t>Provincias</t>
  </si>
  <si>
    <t>Hyundai</t>
  </si>
  <si>
    <t>Camión</t>
  </si>
  <si>
    <t>La Estrella</t>
  </si>
  <si>
    <t>Volvo</t>
  </si>
  <si>
    <t>Camioneta</t>
  </si>
  <si>
    <t>Robles</t>
  </si>
  <si>
    <t>Omnibus</t>
  </si>
  <si>
    <t>Jara</t>
  </si>
  <si>
    <t>Precio</t>
  </si>
  <si>
    <t>Comisión</t>
  </si>
  <si>
    <t>Cantidad</t>
  </si>
  <si>
    <t>Vendedor</t>
  </si>
  <si>
    <t>Lugar</t>
  </si>
  <si>
    <t>Turno</t>
  </si>
  <si>
    <t>Marca</t>
  </si>
  <si>
    <t>Vehiculo</t>
  </si>
  <si>
    <t>Agencia</t>
  </si>
  <si>
    <t>VENTA DE VEHICULOS</t>
  </si>
  <si>
    <t>TABLA</t>
  </si>
  <si>
    <t xml:space="preserve">RELLENAR CON SUMA DE CANTIDADES PARA CADA UNO </t>
  </si>
  <si>
    <t>Se recomienda funcion anidada BUSCARV, SI para la columna Precio</t>
  </si>
  <si>
    <t xml:space="preserve">Total: </t>
  </si>
  <si>
    <t>Belinda Vaca</t>
  </si>
  <si>
    <t>A-120</t>
  </si>
  <si>
    <t>Xiomara Davalos</t>
  </si>
  <si>
    <t>A-119</t>
  </si>
  <si>
    <t>Angel Alva</t>
  </si>
  <si>
    <t>A-118</t>
  </si>
  <si>
    <t>Zoila Zamudio</t>
  </si>
  <si>
    <t>A-117</t>
  </si>
  <si>
    <t>Jose Pérez</t>
  </si>
  <si>
    <t>A-116</t>
  </si>
  <si>
    <t>Victor Lopez</t>
  </si>
  <si>
    <t>A-115</t>
  </si>
  <si>
    <t>Hugo Tiberio</t>
  </si>
  <si>
    <t>A-114</t>
  </si>
  <si>
    <t>MONTO</t>
  </si>
  <si>
    <t>ZONA</t>
  </si>
  <si>
    <t>CATEGORÍA</t>
  </si>
  <si>
    <t>Sonia Rojas</t>
  </si>
  <si>
    <t>A-113</t>
  </si>
  <si>
    <t>Suma de los Montos Para Cada uno</t>
  </si>
  <si>
    <t>Sara Erazo</t>
  </si>
  <si>
    <t>A-112</t>
  </si>
  <si>
    <t>Manuel Laines</t>
  </si>
  <si>
    <t>A-111</t>
  </si>
  <si>
    <t>Gonzalo Puno</t>
  </si>
  <si>
    <t>A-110</t>
  </si>
  <si>
    <t>Total Recaudado en la Categoría B:</t>
  </si>
  <si>
    <t>Dario Torres</t>
  </si>
  <si>
    <t>A-109</t>
  </si>
  <si>
    <t>Total Recaudado en la Categoría A:</t>
  </si>
  <si>
    <t>Olga Urbano</t>
  </si>
  <si>
    <t>A-108</t>
  </si>
  <si>
    <t>Vilma Vega</t>
  </si>
  <si>
    <t>A-107</t>
  </si>
  <si>
    <t>Carlos Flores</t>
  </si>
  <si>
    <t>A-106</t>
  </si>
  <si>
    <t>Yrma Venegas</t>
  </si>
  <si>
    <t>A-105</t>
  </si>
  <si>
    <t>Nº de Clientes de la Categoría B:</t>
  </si>
  <si>
    <t>Pedro Apaza</t>
  </si>
  <si>
    <t>A-104</t>
  </si>
  <si>
    <t>Nº de Clientes de la Categoría A:</t>
  </si>
  <si>
    <t>Ana Torres</t>
  </si>
  <si>
    <t>A-103</t>
  </si>
  <si>
    <t>Percy Zavala</t>
  </si>
  <si>
    <t>A-102</t>
  </si>
  <si>
    <t>Juan Pérez</t>
  </si>
  <si>
    <t>A-101</t>
  </si>
  <si>
    <t>CLIENTE</t>
  </si>
  <si>
    <t>CODIGO</t>
  </si>
  <si>
    <t>RECAUDACIONES - DICIEMBRE 2007</t>
  </si>
  <si>
    <t>Ejercicio Nº 1 - Uso de Fórmulas.</t>
  </si>
  <si>
    <t>Promedio de MONTO</t>
  </si>
  <si>
    <t>Crear Una funcion para las 6 celdas crema</t>
  </si>
  <si>
    <t>Ejercicio Nº 2 - Manejo de Listas de Datos</t>
  </si>
  <si>
    <t>N°</t>
  </si>
  <si>
    <t>Usando funciones resolver las celdas Amarillas</t>
  </si>
  <si>
    <t>MAXIMO</t>
  </si>
  <si>
    <t>MINIMO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</si>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</sst>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&quot;S/.&quot;* #,##0.00_ ;_ &quot;S/.&quot;* \-#,##0.00_ ;_ &quot;S/.&quot;* &quot;-&quot;??_ ;_ @_ "/>
    <numFmt numFmtId="166" formatCode="0.0"/>
    <numFmt numFmtId="167" formatCode="0000"/>
    <numFmt numFmtId="168" formatCode="_([$€-2]\ * #,##0.00_);_([$€-2]\ * \(#,##0.00\);_([$€-2]\ * &quot;-&quot;??_)"/>
    <numFmt numFmtId="169" formatCode="&quot;$&quot;#,##0;[Red]\-&quot;$&quot;#,##0"/>
    <numFmt numFmtId="170" formatCode="&quot;$&quot;#,##0.00_);[Red]\(&quot;$&quot;#,##0.00\)"/>
    <numFmt numFmtId="171" formatCode="00"/>
    <numFmt numFmtId="172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Helv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30"/>
      <name val="Calibri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2"/>
      <color indexed="42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indexed="22"/>
        <bgColor indexed="15"/>
      </patternFill>
    </fill>
    <fill>
      <patternFill patternType="solid">
        <fgColor rgb="FFCC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24994659260841701"/>
      </right>
      <top style="medium">
        <color theme="5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 tint="-0.24994659260841701"/>
      </top>
      <bottom style="thin">
        <color indexed="64"/>
      </bottom>
      <diagonal/>
    </border>
    <border>
      <left style="medium">
        <color theme="5" tint="-0.24994659260841701"/>
      </left>
      <right style="thin">
        <color indexed="64"/>
      </right>
      <top style="medium">
        <color theme="5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0">
    <xf numFmtId="0" fontId="0" fillId="0" borderId="0"/>
    <xf numFmtId="0" fontId="3" fillId="0" borderId="0"/>
    <xf numFmtId="0" fontId="1" fillId="0" borderId="0"/>
    <xf numFmtId="168" fontId="4" fillId="0" borderId="0" applyFont="0" applyFill="0" applyBorder="0" applyAlignment="0" applyProtection="0"/>
    <xf numFmtId="0" fontId="4" fillId="0" borderId="0"/>
    <xf numFmtId="0" fontId="1" fillId="0" borderId="0"/>
    <xf numFmtId="38" fontId="4" fillId="0" borderId="0" applyFont="0" applyFill="0" applyBorder="0" applyAlignment="0" applyProtection="0"/>
    <xf numFmtId="4" fontId="6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0" fontId="1" fillId="0" borderId="0"/>
    <xf numFmtId="168" fontId="7" fillId="0" borderId="0" applyFont="0" applyFill="0" applyBorder="0" applyAlignment="0" applyProtection="0"/>
    <xf numFmtId="0" fontId="1" fillId="0" borderId="0"/>
    <xf numFmtId="0" fontId="4" fillId="0" borderId="0"/>
    <xf numFmtId="168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1" fillId="0" borderId="0"/>
    <xf numFmtId="0" fontId="4" fillId="0" borderId="0"/>
    <xf numFmtId="168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0" fontId="1" fillId="0" borderId="0"/>
    <xf numFmtId="168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0" fontId="1" fillId="0" borderId="0"/>
    <xf numFmtId="168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3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0" fillId="0" borderId="0" xfId="0" applyFont="1"/>
    <xf numFmtId="0" fontId="9" fillId="0" borderId="0" xfId="4" applyFont="1" applyAlignment="1">
      <alignment horizontal="center"/>
    </xf>
    <xf numFmtId="0" fontId="8" fillId="0" borderId="0" xfId="4" applyFont="1"/>
    <xf numFmtId="171" fontId="8" fillId="0" borderId="1" xfId="4" applyNumberFormat="1" applyFont="1" applyBorder="1" applyAlignment="1">
      <alignment horizontal="center" vertical="center"/>
    </xf>
    <xf numFmtId="0" fontId="8" fillId="0" borderId="0" xfId="24" applyFont="1"/>
    <xf numFmtId="0" fontId="8" fillId="5" borderId="1" xfId="4" applyFont="1" applyFill="1" applyBorder="1" applyProtection="1">
      <protection locked="0"/>
    </xf>
    <xf numFmtId="0" fontId="10" fillId="0" borderId="0" xfId="4" applyFont="1" applyAlignment="1">
      <alignment horizontal="left"/>
    </xf>
    <xf numFmtId="0" fontId="2" fillId="0" borderId="0" xfId="37" applyFont="1"/>
    <xf numFmtId="0" fontId="8" fillId="0" borderId="0" xfId="36" applyFont="1"/>
    <xf numFmtId="0" fontId="1" fillId="0" borderId="0" xfId="37" applyFont="1"/>
    <xf numFmtId="0" fontId="1" fillId="0" borderId="0" xfId="37" applyFont="1" applyAlignment="1">
      <alignment horizontal="left" indent="2"/>
    </xf>
    <xf numFmtId="2" fontId="11" fillId="3" borderId="1" xfId="37" applyNumberFormat="1" applyFont="1" applyFill="1" applyBorder="1" applyAlignment="1"/>
    <xf numFmtId="166" fontId="11" fillId="4" borderId="1" xfId="37" applyNumberFormat="1" applyFont="1" applyFill="1" applyBorder="1" applyAlignment="1"/>
    <xf numFmtId="0" fontId="11" fillId="4" borderId="1" xfId="37" applyFont="1" applyFill="1" applyBorder="1" applyAlignment="1"/>
    <xf numFmtId="167" fontId="11" fillId="4" borderId="1" xfId="37" applyNumberFormat="1" applyFont="1" applyFill="1" applyBorder="1" applyAlignment="1"/>
    <xf numFmtId="0" fontId="11" fillId="3" borderId="1" xfId="37" applyFont="1" applyFill="1" applyBorder="1" applyAlignment="1">
      <alignment horizontal="left"/>
    </xf>
    <xf numFmtId="0" fontId="8" fillId="3" borderId="1" xfId="37" applyFont="1" applyFill="1" applyBorder="1" applyAlignment="1">
      <alignment horizontal="left"/>
    </xf>
    <xf numFmtId="0" fontId="12" fillId="2" borderId="1" xfId="37" applyFont="1" applyFill="1" applyBorder="1" applyAlignment="1">
      <alignment horizontal="center" vertical="center"/>
    </xf>
    <xf numFmtId="0" fontId="12" fillId="2" borderId="1" xfId="37" applyFont="1" applyFill="1" applyBorder="1" applyAlignment="1">
      <alignment horizontal="center" vertical="center" wrapText="1"/>
    </xf>
    <xf numFmtId="0" fontId="0" fillId="0" borderId="1" xfId="0" applyBorder="1"/>
    <xf numFmtId="0" fontId="0" fillId="6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3" xfId="0" applyFont="1" applyBorder="1"/>
    <xf numFmtId="0" fontId="0" fillId="6" borderId="4" xfId="0" applyFont="1" applyFill="1" applyBorder="1"/>
    <xf numFmtId="0" fontId="0" fillId="6" borderId="5" xfId="0" applyFont="1" applyFill="1" applyBorder="1"/>
    <xf numFmtId="0" fontId="0" fillId="6" borderId="6" xfId="0" applyFont="1" applyFill="1" applyBorder="1"/>
    <xf numFmtId="0" fontId="0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/>
    <xf numFmtId="0" fontId="15" fillId="0" borderId="0" xfId="0" applyFont="1" applyAlignment="1">
      <alignment horizontal="left" indent="1"/>
    </xf>
    <xf numFmtId="0" fontId="16" fillId="0" borderId="0" xfId="0" applyFont="1" applyAlignment="1">
      <alignment horizontal="center"/>
    </xf>
    <xf numFmtId="172" fontId="7" fillId="0" borderId="8" xfId="47" applyNumberFormat="1" applyFont="1" applyBorder="1"/>
    <xf numFmtId="0" fontId="0" fillId="0" borderId="9" xfId="0" applyBorder="1" applyAlignment="1">
      <alignment horizontal="left" indent="1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left" indent="1"/>
    </xf>
    <xf numFmtId="0" fontId="17" fillId="0" borderId="0" xfId="0" applyFont="1" applyAlignment="1">
      <alignment horizontal="left" indent="1"/>
    </xf>
    <xf numFmtId="172" fontId="7" fillId="7" borderId="1" xfId="47" applyNumberFormat="1" applyFont="1" applyFill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172" fontId="7" fillId="0" borderId="11" xfId="47" applyNumberFormat="1" applyFont="1" applyBorder="1"/>
    <xf numFmtId="0" fontId="0" fillId="0" borderId="12" xfId="0" applyBorder="1" applyAlignment="1">
      <alignment horizontal="left" indent="1"/>
    </xf>
    <xf numFmtId="0" fontId="18" fillId="8" borderId="13" xfId="0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/>
    <xf numFmtId="0" fontId="18" fillId="0" borderId="3" xfId="0" applyFont="1" applyBorder="1" applyAlignment="1">
      <alignment horizontal="left"/>
    </xf>
    <xf numFmtId="0" fontId="16" fillId="6" borderId="1" xfId="0" applyFont="1" applyFill="1" applyBorder="1" applyAlignment="1">
      <alignment horizontal="center"/>
    </xf>
    <xf numFmtId="0" fontId="7" fillId="7" borderId="1" xfId="47" applyNumberFormat="1" applyFont="1" applyFill="1" applyBorder="1" applyAlignment="1">
      <alignment horizontal="center"/>
    </xf>
    <xf numFmtId="0" fontId="15" fillId="0" borderId="0" xfId="0" applyFont="1"/>
    <xf numFmtId="0" fontId="19" fillId="9" borderId="16" xfId="0" applyFont="1" applyFill="1" applyBorder="1" applyAlignment="1">
      <alignment horizontal="center"/>
    </xf>
    <xf numFmtId="0" fontId="0" fillId="0" borderId="0" xfId="0" applyAlignment="1">
      <alignment horizontal="left" indent="2"/>
    </xf>
    <xf numFmtId="0" fontId="21" fillId="0" borderId="0" xfId="0" applyFont="1"/>
    <xf numFmtId="0" fontId="0" fillId="0" borderId="0" xfId="0" applyFill="1" applyBorder="1" applyAlignment="1"/>
    <xf numFmtId="0" fontId="0" fillId="0" borderId="2" xfId="0" applyBorder="1" applyAlignment="1">
      <alignment horizontal="center"/>
    </xf>
    <xf numFmtId="0" fontId="16" fillId="10" borderId="1" xfId="0" applyFont="1" applyFill="1" applyBorder="1" applyAlignment="1">
      <alignment horizontal="left" indent="1"/>
    </xf>
    <xf numFmtId="0" fontId="0" fillId="0" borderId="20" xfId="0" applyBorder="1"/>
    <xf numFmtId="0" fontId="0" fillId="0" borderId="3" xfId="0" applyBorder="1"/>
    <xf numFmtId="0" fontId="16" fillId="10" borderId="3" xfId="0" applyFont="1" applyFill="1" applyBorder="1" applyAlignment="1">
      <alignment horizontal="left" indent="1"/>
    </xf>
    <xf numFmtId="0" fontId="16" fillId="10" borderId="1" xfId="0" applyFont="1" applyFill="1" applyBorder="1"/>
    <xf numFmtId="0" fontId="0" fillId="0" borderId="0" xfId="0" applyAlignment="1"/>
    <xf numFmtId="0" fontId="22" fillId="0" borderId="0" xfId="0" applyFont="1"/>
    <xf numFmtId="0" fontId="8" fillId="0" borderId="1" xfId="4" applyFont="1" applyBorder="1" applyAlignment="1">
      <alignment horizontal="center"/>
    </xf>
    <xf numFmtId="0" fontId="8" fillId="5" borderId="1" xfId="4" applyNumberFormat="1" applyFont="1" applyFill="1" applyBorder="1" applyAlignment="1" applyProtection="1">
      <alignment horizontal="center" vertical="center"/>
      <protection locked="0"/>
    </xf>
    <xf numFmtId="9" fontId="0" fillId="0" borderId="1" xfId="0" applyNumberFormat="1" applyFont="1" applyBorder="1" applyAlignment="1">
      <alignment horizontal="center"/>
    </xf>
    <xf numFmtId="9" fontId="0" fillId="6" borderId="1" xfId="49" applyFont="1" applyFill="1" applyBorder="1"/>
    <xf numFmtId="166" fontId="0" fillId="0" borderId="1" xfId="0" applyNumberFormat="1" applyBorder="1"/>
    <xf numFmtId="2" fontId="0" fillId="0" borderId="1" xfId="0" applyNumberFormat="1" applyBorder="1"/>
    <xf numFmtId="0" fontId="9" fillId="0" borderId="0" xfId="4" applyFont="1" applyFill="1" applyAlignment="1">
      <alignment horizontal="center"/>
    </xf>
    <xf numFmtId="171" fontId="8" fillId="0" borderId="21" xfId="4" applyNumberFormat="1" applyFont="1" applyFill="1" applyBorder="1" applyAlignment="1">
      <alignment horizontal="center" vertical="center"/>
    </xf>
    <xf numFmtId="171" fontId="0" fillId="0" borderId="0" xfId="0" applyNumberFormat="1"/>
    <xf numFmtId="0" fontId="20" fillId="9" borderId="19" xfId="0" applyFont="1" applyFill="1" applyBorder="1" applyAlignment="1">
      <alignment horizontal="center"/>
    </xf>
    <xf numFmtId="0" fontId="20" fillId="9" borderId="18" xfId="0" applyFont="1" applyFill="1" applyBorder="1" applyAlignment="1">
      <alignment horizontal="center"/>
    </xf>
    <xf numFmtId="0" fontId="20" fillId="9" borderId="17" xfId="0" applyFont="1" applyFill="1" applyBorder="1" applyAlignment="1">
      <alignment horizontal="center"/>
    </xf>
  </cellXfs>
  <cellStyles count="50">
    <cellStyle name="Comma [0]" xfId="6" xr:uid="{00000000-0005-0000-0000-000000000000}"/>
    <cellStyle name="Comma_SOLVER1" xfId="7" xr:uid="{00000000-0005-0000-0000-000001000000}"/>
    <cellStyle name="Currency [0]" xfId="8" xr:uid="{00000000-0005-0000-0000-000002000000}"/>
    <cellStyle name="Currency_Solver Example" xfId="9" xr:uid="{00000000-0005-0000-0000-000003000000}"/>
    <cellStyle name="Euro" xfId="3" xr:uid="{00000000-0005-0000-0000-000004000000}"/>
    <cellStyle name="Millares 2" xfId="47" xr:uid="{00000000-0005-0000-0000-000005000000}"/>
    <cellStyle name="Moneda 2" xfId="10" xr:uid="{00000000-0005-0000-0000-000006000000}"/>
    <cellStyle name="Moneda 2 10" xfId="35" xr:uid="{00000000-0005-0000-0000-000007000000}"/>
    <cellStyle name="Moneda 2 11" xfId="38" xr:uid="{00000000-0005-0000-0000-000008000000}"/>
    <cellStyle name="Moneda 2 12" xfId="41" xr:uid="{00000000-0005-0000-0000-000009000000}"/>
    <cellStyle name="Moneda 2 13" xfId="43" xr:uid="{00000000-0005-0000-0000-00000A000000}"/>
    <cellStyle name="Moneda 2 14" xfId="46" xr:uid="{00000000-0005-0000-0000-00000B000000}"/>
    <cellStyle name="Moneda 2 2" xfId="13" xr:uid="{00000000-0005-0000-0000-00000C000000}"/>
    <cellStyle name="Moneda 2 3" xfId="17" xr:uid="{00000000-0005-0000-0000-00000D000000}"/>
    <cellStyle name="Moneda 2 4" xfId="19" xr:uid="{00000000-0005-0000-0000-00000E000000}"/>
    <cellStyle name="Moneda 2 5" xfId="22" xr:uid="{00000000-0005-0000-0000-00000F000000}"/>
    <cellStyle name="Moneda 2 6" xfId="25" xr:uid="{00000000-0005-0000-0000-000010000000}"/>
    <cellStyle name="Moneda 2 7" xfId="27" xr:uid="{00000000-0005-0000-0000-000011000000}"/>
    <cellStyle name="Moneda 2 8" xfId="30" xr:uid="{00000000-0005-0000-0000-000012000000}"/>
    <cellStyle name="Moneda 2 9" xfId="32" xr:uid="{00000000-0005-0000-0000-000013000000}"/>
    <cellStyle name="Normal" xfId="0" builtinId="0"/>
    <cellStyle name="Normal 10" xfId="24" xr:uid="{00000000-0005-0000-0000-000015000000}"/>
    <cellStyle name="Normal 12" xfId="29" xr:uid="{00000000-0005-0000-0000-000016000000}"/>
    <cellStyle name="Normal 13" xfId="33" xr:uid="{00000000-0005-0000-0000-000017000000}"/>
    <cellStyle name="Normal 14" xfId="36" xr:uid="{00000000-0005-0000-0000-000018000000}"/>
    <cellStyle name="Normal 15" xfId="39" xr:uid="{00000000-0005-0000-0000-000019000000}"/>
    <cellStyle name="Normal 17" xfId="44" xr:uid="{00000000-0005-0000-0000-00001A000000}"/>
    <cellStyle name="Normal 2" xfId="1" xr:uid="{00000000-0005-0000-0000-00001B000000}"/>
    <cellStyle name="Normal 2 10" xfId="34" xr:uid="{00000000-0005-0000-0000-00001C000000}"/>
    <cellStyle name="Normal 2 11" xfId="37" xr:uid="{00000000-0005-0000-0000-00001D000000}"/>
    <cellStyle name="Normal 2 12" xfId="40" xr:uid="{00000000-0005-0000-0000-00001E000000}"/>
    <cellStyle name="Normal 2 13" xfId="42" xr:uid="{00000000-0005-0000-0000-00001F000000}"/>
    <cellStyle name="Normal 2 14" xfId="45" xr:uid="{00000000-0005-0000-0000-000020000000}"/>
    <cellStyle name="Normal 2 2" xfId="2" xr:uid="{00000000-0005-0000-0000-000021000000}"/>
    <cellStyle name="Normal 2 3" xfId="15" xr:uid="{00000000-0005-0000-0000-000022000000}"/>
    <cellStyle name="Normal 2 4" xfId="18" xr:uid="{00000000-0005-0000-0000-000023000000}"/>
    <cellStyle name="Normal 2 5" xfId="21" xr:uid="{00000000-0005-0000-0000-000024000000}"/>
    <cellStyle name="Normal 2 6" xfId="23" xr:uid="{00000000-0005-0000-0000-000025000000}"/>
    <cellStyle name="Normal 2 7" xfId="26" xr:uid="{00000000-0005-0000-0000-000026000000}"/>
    <cellStyle name="Normal 2 8" xfId="28" xr:uid="{00000000-0005-0000-0000-000027000000}"/>
    <cellStyle name="Normal 2 9" xfId="31" xr:uid="{00000000-0005-0000-0000-000028000000}"/>
    <cellStyle name="Normal 3" xfId="4" xr:uid="{00000000-0005-0000-0000-000029000000}"/>
    <cellStyle name="Normal 3 2" xfId="11" xr:uid="{00000000-0005-0000-0000-00002A000000}"/>
    <cellStyle name="Normal 4" xfId="5" xr:uid="{00000000-0005-0000-0000-00002B000000}"/>
    <cellStyle name="Normal 5" xfId="14" xr:uid="{00000000-0005-0000-0000-00002C000000}"/>
    <cellStyle name="Normal 6" xfId="48" xr:uid="{00000000-0005-0000-0000-00002D000000}"/>
    <cellStyle name="Normal 7" xfId="16" xr:uid="{00000000-0005-0000-0000-00002E000000}"/>
    <cellStyle name="Normal 8" xfId="20" xr:uid="{00000000-0005-0000-0000-00002F000000}"/>
    <cellStyle name="Porcentaje" xfId="49" builtinId="5"/>
    <cellStyle name="Porcentual 2" xfId="12" xr:uid="{00000000-0005-0000-0000-00003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0</xdr:rowOff>
    </xdr:from>
    <xdr:ext cx="2038349" cy="530658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362325" y="247650"/>
          <a:ext cx="2038349" cy="53065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PE" sz="1400">
              <a:latin typeface="+mn-lt"/>
            </a:rPr>
            <a:t>Prom = Promedio de las 4 mejores</a:t>
          </a:r>
          <a:r>
            <a:rPr lang="es-PE" sz="1400" baseline="0">
              <a:latin typeface="+mn-lt"/>
            </a:rPr>
            <a:t> Notas </a:t>
          </a:r>
          <a:endParaRPr lang="es-PE" sz="1400">
            <a:latin typeface="+mn-lt"/>
          </a:endParaRPr>
        </a:p>
      </xdr:txBody>
    </xdr:sp>
    <xdr:clientData/>
  </xdr:oneCellAnchor>
  <xdr:oneCellAnchor>
    <xdr:from>
      <xdr:col>8</xdr:col>
      <xdr:colOff>590550</xdr:colOff>
      <xdr:row>0</xdr:row>
      <xdr:rowOff>95250</xdr:rowOff>
    </xdr:from>
    <xdr:ext cx="2803140" cy="843821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372225" y="95250"/>
          <a:ext cx="2803140" cy="843821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s-PE" sz="1200">
              <a:latin typeface="+mn-lt"/>
              <a:cs typeface="Aharoni" pitchFamily="2" charset="-79"/>
            </a:rPr>
            <a:t>Condicion =</a:t>
          </a:r>
        </a:p>
        <a:p>
          <a:r>
            <a:rPr lang="es-PE" sz="1200">
              <a:solidFill>
                <a:srgbClr val="0000FF"/>
              </a:solidFill>
              <a:latin typeface="+mn-lt"/>
              <a:cs typeface="Aharoni" pitchFamily="2" charset="-79"/>
            </a:rPr>
            <a:t>Aprobado</a:t>
          </a:r>
          <a:r>
            <a:rPr lang="es-PE" sz="1200">
              <a:latin typeface="+mn-lt"/>
              <a:cs typeface="Aharoni" pitchFamily="2" charset="-79"/>
            </a:rPr>
            <a:t> si Promedio es Mayor de 15</a:t>
          </a:r>
        </a:p>
        <a:p>
          <a:r>
            <a:rPr lang="es-PE" sz="1200">
              <a:solidFill>
                <a:srgbClr val="FF0000"/>
              </a:solidFill>
              <a:latin typeface="+mn-lt"/>
              <a:cs typeface="Aharoni" pitchFamily="2" charset="-79"/>
            </a:rPr>
            <a:t>Desaprobado</a:t>
          </a:r>
          <a:r>
            <a:rPr lang="es-PE" sz="1200">
              <a:latin typeface="+mn-lt"/>
              <a:cs typeface="Aharoni" pitchFamily="2" charset="-79"/>
            </a:rPr>
            <a:t> si Promedio es  menor de11</a:t>
          </a:r>
        </a:p>
        <a:p>
          <a:r>
            <a:rPr lang="es-PE" sz="1200">
              <a:solidFill>
                <a:srgbClr val="006600"/>
              </a:solidFill>
              <a:latin typeface="+mn-lt"/>
              <a:cs typeface="Aharoni" pitchFamily="2" charset="-79"/>
            </a:rPr>
            <a:t>Asistente</a:t>
          </a:r>
          <a:r>
            <a:rPr lang="es-PE" sz="1200" baseline="0">
              <a:latin typeface="+mn-lt"/>
              <a:cs typeface="Aharoni" pitchFamily="2" charset="-79"/>
            </a:rPr>
            <a:t> en otro caso</a:t>
          </a:r>
          <a:endParaRPr lang="es-PE" sz="1200">
            <a:latin typeface="+mn-lt"/>
            <a:cs typeface="Aharoni" pitchFamily="2" charset="-79"/>
          </a:endParaRPr>
        </a:p>
      </xdr:txBody>
    </xdr:sp>
    <xdr:clientData/>
  </xdr:oneCellAnchor>
  <xdr:oneCellAnchor>
    <xdr:from>
      <xdr:col>0</xdr:col>
      <xdr:colOff>38100</xdr:colOff>
      <xdr:row>23</xdr:row>
      <xdr:rowOff>95250</xdr:rowOff>
    </xdr:from>
    <xdr:ext cx="1733550" cy="311496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8100" y="4524375"/>
          <a:ext cx="1733550" cy="31149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PE" sz="1400">
              <a:latin typeface="+mn-lt"/>
            </a:rPr>
            <a:t>Cambiar</a:t>
          </a:r>
          <a:r>
            <a:rPr lang="es-PE" sz="1400" baseline="0">
              <a:latin typeface="+mn-lt"/>
            </a:rPr>
            <a:t> de Nombre</a:t>
          </a:r>
          <a:endParaRPr lang="es-PE" sz="1400">
            <a:latin typeface="+mn-lt"/>
          </a:endParaRPr>
        </a:p>
      </xdr:txBody>
    </xdr:sp>
    <xdr:clientData/>
  </xdr:oneCellAnchor>
  <xdr:oneCellAnchor>
    <xdr:from>
      <xdr:col>1</xdr:col>
      <xdr:colOff>142876</xdr:colOff>
      <xdr:row>25</xdr:row>
      <xdr:rowOff>19050</xdr:rowOff>
    </xdr:from>
    <xdr:ext cx="1085849" cy="31149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933576" y="4829175"/>
          <a:ext cx="1085849" cy="31149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PE" sz="1400">
              <a:latin typeface="+mn-lt"/>
            </a:rPr>
            <a:t>Mayor Nota</a:t>
          </a:r>
        </a:p>
      </xdr:txBody>
    </xdr:sp>
    <xdr:clientData/>
  </xdr:oneCellAnchor>
  <xdr:oneCellAnchor>
    <xdr:from>
      <xdr:col>3</xdr:col>
      <xdr:colOff>38101</xdr:colOff>
      <xdr:row>22</xdr:row>
      <xdr:rowOff>95250</xdr:rowOff>
    </xdr:from>
    <xdr:ext cx="1085849" cy="311496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248026" y="4286250"/>
          <a:ext cx="1085849" cy="31149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PE" sz="1400">
              <a:latin typeface="+mn-lt"/>
            </a:rPr>
            <a:t>Menor Nota</a:t>
          </a:r>
        </a:p>
      </xdr:txBody>
    </xdr:sp>
    <xdr:clientData/>
  </xdr:oneCellAnchor>
  <xdr:twoCellAnchor>
    <xdr:from>
      <xdr:col>1</xdr:col>
      <xdr:colOff>400050</xdr:colOff>
      <xdr:row>21</xdr:row>
      <xdr:rowOff>48419</xdr:rowOff>
    </xdr:from>
    <xdr:to>
      <xdr:col>1</xdr:col>
      <xdr:colOff>400844</xdr:colOff>
      <xdr:row>24</xdr:row>
      <xdr:rowOff>47625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rot="5400000" flipH="1" flipV="1">
          <a:off x="2162969" y="4333875"/>
          <a:ext cx="570706" cy="794"/>
        </a:xfrm>
        <a:prstGeom prst="straightConnector1">
          <a:avLst/>
        </a:prstGeom>
        <a:ln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246856</xdr:colOff>
      <xdr:row>21</xdr:row>
      <xdr:rowOff>38894</xdr:rowOff>
    </xdr:from>
    <xdr:to>
      <xdr:col>3</xdr:col>
      <xdr:colOff>248444</xdr:colOff>
      <xdr:row>22</xdr:row>
      <xdr:rowOff>153194</xdr:rowOff>
    </xdr:to>
    <xdr:cxnSp macro="">
      <xdr:nvCxnSpPr>
        <xdr:cNvPr id="11" name="10 Conector recto de flecha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 rot="5400000" flipH="1" flipV="1">
          <a:off x="3305175" y="4191000"/>
          <a:ext cx="304800" cy="1588"/>
        </a:xfrm>
        <a:prstGeom prst="straightConnector1">
          <a:avLst/>
        </a:prstGeom>
        <a:ln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1752600</xdr:colOff>
      <xdr:row>20</xdr:row>
      <xdr:rowOff>153194</xdr:rowOff>
    </xdr:from>
    <xdr:to>
      <xdr:col>0</xdr:col>
      <xdr:colOff>1753394</xdr:colOff>
      <xdr:row>23</xdr:row>
      <xdr:rowOff>152400</xdr:rowOff>
    </xdr:to>
    <xdr:cxnSp macro="">
      <xdr:nvCxnSpPr>
        <xdr:cNvPr id="10" name="9 Conector recto de flecha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 rot="5400000" flipH="1" flipV="1">
          <a:off x="1467644" y="4295775"/>
          <a:ext cx="570706" cy="794"/>
        </a:xfrm>
        <a:prstGeom prst="straightConnector1">
          <a:avLst/>
        </a:prstGeom>
        <a:ln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9</xdr:row>
      <xdr:rowOff>190500</xdr:rowOff>
    </xdr:from>
    <xdr:to>
      <xdr:col>10</xdr:col>
      <xdr:colOff>9526</xdr:colOff>
      <xdr:row>13</xdr:row>
      <xdr:rowOff>85725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rot="10800000" flipV="1">
          <a:off x="6019800" y="1905000"/>
          <a:ext cx="1609726" cy="657225"/>
        </a:xfrm>
        <a:prstGeom prst="straightConnector1">
          <a:avLst/>
        </a:prstGeom>
        <a:ln w="25400"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K25"/>
  <sheetViews>
    <sheetView workbookViewId="0">
      <selection activeCell="J28" sqref="J28"/>
    </sheetView>
  </sheetViews>
  <sheetFormatPr baseColWidth="10" defaultRowHeight="15" x14ac:dyDescent="0.25"/>
  <cols>
    <col min="2" max="2" width="15.5703125" customWidth="1"/>
    <col min="3" max="3" width="12.28515625" customWidth="1"/>
    <col min="7" max="7" width="11.7109375" customWidth="1"/>
    <col min="8" max="8" width="13" customWidth="1"/>
    <col min="9" max="9" width="14" customWidth="1"/>
    <col min="10" max="10" width="12.85546875" customWidth="1"/>
  </cols>
  <sheetData>
    <row r="1" spans="1:11" ht="18.75" x14ac:dyDescent="0.3">
      <c r="A1" s="68" t="s">
        <v>227</v>
      </c>
    </row>
    <row r="2" spans="1:11" ht="15.75" thickBot="1" x14ac:dyDescent="0.3"/>
    <row r="3" spans="1:11" ht="16.5" thickBot="1" x14ac:dyDescent="0.3">
      <c r="A3" s="78" t="s">
        <v>226</v>
      </c>
      <c r="B3" s="79"/>
      <c r="C3" s="79"/>
      <c r="D3" s="79"/>
      <c r="E3" s="80"/>
    </row>
    <row r="4" spans="1:11" ht="15.75" thickBot="1" x14ac:dyDescent="0.3">
      <c r="G4" s="58"/>
    </row>
    <row r="5" spans="1:11" x14ac:dyDescent="0.25">
      <c r="A5" s="57" t="s">
        <v>225</v>
      </c>
      <c r="B5" s="48" t="s">
        <v>224</v>
      </c>
      <c r="C5" s="48" t="s">
        <v>192</v>
      </c>
      <c r="D5" s="48" t="s">
        <v>191</v>
      </c>
      <c r="E5" s="47" t="s">
        <v>190</v>
      </c>
    </row>
    <row r="6" spans="1:11" x14ac:dyDescent="0.25">
      <c r="A6" s="46" t="s">
        <v>223</v>
      </c>
      <c r="B6" s="21" t="s">
        <v>222</v>
      </c>
      <c r="C6" s="44" t="s">
        <v>27</v>
      </c>
      <c r="D6" s="43" t="s">
        <v>71</v>
      </c>
      <c r="E6" s="45">
        <v>22000</v>
      </c>
      <c r="G6" s="56"/>
    </row>
    <row r="7" spans="1:11" x14ac:dyDescent="0.25">
      <c r="A7" s="46" t="s">
        <v>221</v>
      </c>
      <c r="B7" s="21" t="s">
        <v>220</v>
      </c>
      <c r="C7" s="44" t="s">
        <v>26</v>
      </c>
      <c r="D7" s="43" t="s">
        <v>62</v>
      </c>
      <c r="E7" s="45">
        <v>15000</v>
      </c>
    </row>
    <row r="8" spans="1:11" x14ac:dyDescent="0.25">
      <c r="A8" s="46" t="s">
        <v>219</v>
      </c>
      <c r="B8" s="21" t="s">
        <v>218</v>
      </c>
      <c r="C8" s="44" t="s">
        <v>27</v>
      </c>
      <c r="D8" s="43" t="s">
        <v>69</v>
      </c>
      <c r="E8" s="45">
        <v>9000</v>
      </c>
      <c r="G8" s="53" t="s">
        <v>217</v>
      </c>
      <c r="H8" s="52"/>
      <c r="I8" s="52"/>
      <c r="J8" s="55"/>
      <c r="K8" s="34"/>
    </row>
    <row r="9" spans="1:11" x14ac:dyDescent="0.25">
      <c r="A9" s="46" t="s">
        <v>216</v>
      </c>
      <c r="B9" s="21" t="s">
        <v>215</v>
      </c>
      <c r="C9" s="44" t="s">
        <v>26</v>
      </c>
      <c r="D9" s="43" t="s">
        <v>71</v>
      </c>
      <c r="E9" s="45">
        <v>10000</v>
      </c>
      <c r="G9" s="53" t="s">
        <v>214</v>
      </c>
      <c r="H9" s="52"/>
      <c r="I9" s="52"/>
      <c r="J9" s="55"/>
      <c r="K9" s="41"/>
    </row>
    <row r="10" spans="1:11" x14ac:dyDescent="0.25">
      <c r="A10" s="46" t="s">
        <v>213</v>
      </c>
      <c r="B10" s="21" t="s">
        <v>212</v>
      </c>
      <c r="C10" s="44" t="s">
        <v>27</v>
      </c>
      <c r="D10" s="43" t="s">
        <v>62</v>
      </c>
      <c r="E10" s="45">
        <v>14000</v>
      </c>
      <c r="G10" s="51"/>
      <c r="I10" s="35" t="s">
        <v>175</v>
      </c>
      <c r="J10" s="54"/>
    </row>
    <row r="11" spans="1:11" x14ac:dyDescent="0.25">
      <c r="A11" s="46" t="s">
        <v>211</v>
      </c>
      <c r="B11" s="21" t="s">
        <v>210</v>
      </c>
      <c r="C11" s="44" t="s">
        <v>26</v>
      </c>
      <c r="D11" s="43" t="s">
        <v>71</v>
      </c>
      <c r="E11" s="45">
        <v>29000</v>
      </c>
      <c r="G11" s="50"/>
    </row>
    <row r="12" spans="1:11" x14ac:dyDescent="0.25">
      <c r="A12" s="46" t="s">
        <v>209</v>
      </c>
      <c r="B12" s="21" t="s">
        <v>208</v>
      </c>
      <c r="C12" s="44" t="s">
        <v>26</v>
      </c>
      <c r="D12" s="43" t="s">
        <v>71</v>
      </c>
      <c r="E12" s="45">
        <v>49000</v>
      </c>
      <c r="G12" s="51"/>
    </row>
    <row r="13" spans="1:11" x14ac:dyDescent="0.25">
      <c r="A13" s="46" t="s">
        <v>207</v>
      </c>
      <c r="B13" s="21" t="s">
        <v>206</v>
      </c>
      <c r="C13" s="44" t="s">
        <v>27</v>
      </c>
      <c r="D13" s="43" t="s">
        <v>69</v>
      </c>
      <c r="E13" s="45">
        <v>1000</v>
      </c>
      <c r="G13" s="53" t="s">
        <v>205</v>
      </c>
      <c r="H13" s="52"/>
      <c r="I13" s="52"/>
      <c r="J13" s="42"/>
      <c r="K13" s="34" t="str">
        <f>REPT("█",J13/25000)</f>
        <v/>
      </c>
    </row>
    <row r="14" spans="1:11" x14ac:dyDescent="0.25">
      <c r="A14" s="46" t="s">
        <v>204</v>
      </c>
      <c r="B14" s="21" t="s">
        <v>203</v>
      </c>
      <c r="C14" s="44" t="s">
        <v>26</v>
      </c>
      <c r="D14" s="43" t="s">
        <v>71</v>
      </c>
      <c r="E14" s="45">
        <v>25000</v>
      </c>
      <c r="G14" s="53" t="s">
        <v>202</v>
      </c>
      <c r="H14" s="52"/>
      <c r="I14" s="52"/>
      <c r="J14" s="42"/>
      <c r="K14" s="41" t="str">
        <f>REPT("█",J14/25000)</f>
        <v/>
      </c>
    </row>
    <row r="15" spans="1:11" x14ac:dyDescent="0.25">
      <c r="A15" s="46" t="s">
        <v>201</v>
      </c>
      <c r="B15" s="21" t="s">
        <v>200</v>
      </c>
      <c r="C15" s="44" t="s">
        <v>26</v>
      </c>
      <c r="D15" s="43" t="s">
        <v>69</v>
      </c>
      <c r="E15" s="45">
        <v>24000</v>
      </c>
      <c r="G15" s="51"/>
      <c r="I15" s="35" t="s">
        <v>175</v>
      </c>
      <c r="J15" s="42"/>
    </row>
    <row r="16" spans="1:11" x14ac:dyDescent="0.25">
      <c r="A16" s="46" t="s">
        <v>199</v>
      </c>
      <c r="B16" s="21" t="s">
        <v>198</v>
      </c>
      <c r="C16" s="44" t="s">
        <v>26</v>
      </c>
      <c r="D16" s="43" t="s">
        <v>62</v>
      </c>
      <c r="E16" s="45">
        <v>44000</v>
      </c>
      <c r="G16" s="50"/>
    </row>
    <row r="17" spans="1:10" ht="15.75" thickBot="1" x14ac:dyDescent="0.3">
      <c r="A17" s="46" t="s">
        <v>197</v>
      </c>
      <c r="B17" s="21" t="s">
        <v>196</v>
      </c>
      <c r="C17" s="44" t="s">
        <v>27</v>
      </c>
      <c r="D17" s="43" t="s">
        <v>62</v>
      </c>
      <c r="E17" s="45">
        <v>5000</v>
      </c>
      <c r="G17" s="49" t="s">
        <v>195</v>
      </c>
    </row>
    <row r="18" spans="1:10" x14ac:dyDescent="0.25">
      <c r="A18" s="46" t="s">
        <v>194</v>
      </c>
      <c r="B18" s="21" t="s">
        <v>193</v>
      </c>
      <c r="C18" s="44" t="s">
        <v>27</v>
      </c>
      <c r="D18" s="43" t="s">
        <v>69</v>
      </c>
      <c r="E18" s="45">
        <v>43000</v>
      </c>
      <c r="G18" s="48" t="s">
        <v>192</v>
      </c>
      <c r="H18" s="48" t="s">
        <v>191</v>
      </c>
      <c r="I18" s="47" t="s">
        <v>190</v>
      </c>
    </row>
    <row r="19" spans="1:10" x14ac:dyDescent="0.25">
      <c r="A19" s="46" t="s">
        <v>189</v>
      </c>
      <c r="B19" s="21" t="s">
        <v>188</v>
      </c>
      <c r="C19" s="44" t="s">
        <v>27</v>
      </c>
      <c r="D19" s="43" t="s">
        <v>71</v>
      </c>
      <c r="E19" s="45">
        <v>6000</v>
      </c>
      <c r="G19" s="44" t="s">
        <v>27</v>
      </c>
      <c r="H19" s="43" t="s">
        <v>69</v>
      </c>
      <c r="I19" s="42"/>
      <c r="J19" s="34" t="str">
        <f t="shared" ref="J19:J25" si="0">REPT("█",I19/10000)</f>
        <v/>
      </c>
    </row>
    <row r="20" spans="1:10" x14ac:dyDescent="0.25">
      <c r="A20" s="46" t="s">
        <v>187</v>
      </c>
      <c r="B20" s="21" t="s">
        <v>186</v>
      </c>
      <c r="C20" s="44" t="s">
        <v>26</v>
      </c>
      <c r="D20" s="43" t="s">
        <v>62</v>
      </c>
      <c r="E20" s="45">
        <v>48000</v>
      </c>
      <c r="G20" s="44" t="s">
        <v>26</v>
      </c>
      <c r="H20" s="43" t="s">
        <v>69</v>
      </c>
      <c r="I20" s="42"/>
      <c r="J20" s="41" t="str">
        <f t="shared" si="0"/>
        <v/>
      </c>
    </row>
    <row r="21" spans="1:10" x14ac:dyDescent="0.25">
      <c r="A21" s="46" t="s">
        <v>185</v>
      </c>
      <c r="B21" s="21" t="s">
        <v>184</v>
      </c>
      <c r="C21" s="44" t="s">
        <v>27</v>
      </c>
      <c r="D21" s="43" t="s">
        <v>71</v>
      </c>
      <c r="E21" s="45">
        <v>10000</v>
      </c>
      <c r="G21" s="44" t="s">
        <v>27</v>
      </c>
      <c r="H21" s="43" t="s">
        <v>71</v>
      </c>
      <c r="I21" s="42"/>
      <c r="J21" s="34" t="str">
        <f t="shared" si="0"/>
        <v/>
      </c>
    </row>
    <row r="22" spans="1:10" x14ac:dyDescent="0.25">
      <c r="A22" s="46" t="s">
        <v>183</v>
      </c>
      <c r="B22" s="21" t="s">
        <v>182</v>
      </c>
      <c r="C22" s="44" t="s">
        <v>27</v>
      </c>
      <c r="D22" s="43" t="s">
        <v>62</v>
      </c>
      <c r="E22" s="45">
        <v>14000</v>
      </c>
      <c r="G22" s="44" t="s">
        <v>26</v>
      </c>
      <c r="H22" s="43" t="s">
        <v>71</v>
      </c>
      <c r="I22" s="42"/>
      <c r="J22" s="41" t="str">
        <f t="shared" si="0"/>
        <v/>
      </c>
    </row>
    <row r="23" spans="1:10" x14ac:dyDescent="0.25">
      <c r="A23" s="46" t="s">
        <v>181</v>
      </c>
      <c r="B23" s="21" t="s">
        <v>180</v>
      </c>
      <c r="C23" s="44" t="s">
        <v>26</v>
      </c>
      <c r="D23" s="43" t="s">
        <v>69</v>
      </c>
      <c r="E23" s="45">
        <v>40000</v>
      </c>
      <c r="G23" s="44" t="s">
        <v>27</v>
      </c>
      <c r="H23" s="43" t="s">
        <v>62</v>
      </c>
      <c r="I23" s="42"/>
      <c r="J23" s="34" t="str">
        <f t="shared" si="0"/>
        <v/>
      </c>
    </row>
    <row r="24" spans="1:10" x14ac:dyDescent="0.25">
      <c r="A24" s="46" t="s">
        <v>179</v>
      </c>
      <c r="B24" s="21" t="s">
        <v>178</v>
      </c>
      <c r="C24" s="44" t="s">
        <v>26</v>
      </c>
      <c r="D24" s="43" t="s">
        <v>69</v>
      </c>
      <c r="E24" s="45">
        <v>7000</v>
      </c>
      <c r="G24" s="44" t="s">
        <v>26</v>
      </c>
      <c r="H24" s="43" t="s">
        <v>62</v>
      </c>
      <c r="I24" s="42"/>
      <c r="J24" s="41" t="str">
        <f t="shared" si="0"/>
        <v/>
      </c>
    </row>
    <row r="25" spans="1:10" ht="15.75" thickBot="1" x14ac:dyDescent="0.3">
      <c r="A25" s="40" t="s">
        <v>177</v>
      </c>
      <c r="B25" s="39" t="s">
        <v>176</v>
      </c>
      <c r="C25" s="38" t="s">
        <v>27</v>
      </c>
      <c r="D25" s="37" t="s">
        <v>71</v>
      </c>
      <c r="E25" s="36">
        <v>21000</v>
      </c>
      <c r="H25" s="35" t="s">
        <v>175</v>
      </c>
      <c r="I25" s="42"/>
      <c r="J25" s="34" t="str">
        <f t="shared" si="0"/>
        <v/>
      </c>
    </row>
  </sheetData>
  <mergeCells count="1"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J25"/>
  <sheetViews>
    <sheetView workbookViewId="0">
      <selection activeCell="G18" sqref="G18"/>
    </sheetView>
  </sheetViews>
  <sheetFormatPr baseColWidth="10" defaultRowHeight="15" x14ac:dyDescent="0.25"/>
  <cols>
    <col min="2" max="2" width="15.5703125" bestFit="1" customWidth="1"/>
    <col min="3" max="3" width="12.85546875" customWidth="1"/>
    <col min="6" max="6" width="4" customWidth="1"/>
    <col min="7" max="7" width="20.42578125" customWidth="1"/>
  </cols>
  <sheetData>
    <row r="1" spans="1:10" ht="18.75" x14ac:dyDescent="0.3">
      <c r="A1" s="59" t="s">
        <v>230</v>
      </c>
      <c r="B1" s="67"/>
    </row>
    <row r="2" spans="1:10" ht="15.75" thickBot="1" x14ac:dyDescent="0.3"/>
    <row r="3" spans="1:10" ht="19.5" thickBot="1" x14ac:dyDescent="0.35">
      <c r="A3" s="78" t="s">
        <v>226</v>
      </c>
      <c r="B3" s="79"/>
      <c r="C3" s="79"/>
      <c r="D3" s="79"/>
      <c r="E3" s="80"/>
      <c r="G3" s="59" t="s">
        <v>229</v>
      </c>
    </row>
    <row r="4" spans="1:10" ht="15.75" thickBot="1" x14ac:dyDescent="0.3"/>
    <row r="5" spans="1:10" x14ac:dyDescent="0.25">
      <c r="A5" s="57" t="s">
        <v>225</v>
      </c>
      <c r="B5" s="48" t="s">
        <v>224</v>
      </c>
      <c r="C5" s="48" t="s">
        <v>192</v>
      </c>
      <c r="D5" s="48" t="s">
        <v>191</v>
      </c>
      <c r="E5" s="47" t="s">
        <v>190</v>
      </c>
    </row>
    <row r="6" spans="1:10" x14ac:dyDescent="0.25">
      <c r="A6" s="46" t="s">
        <v>223</v>
      </c>
      <c r="B6" s="21" t="s">
        <v>222</v>
      </c>
      <c r="C6" s="44" t="s">
        <v>27</v>
      </c>
      <c r="D6" s="43" t="s">
        <v>71</v>
      </c>
      <c r="E6" s="45">
        <v>22000</v>
      </c>
    </row>
    <row r="7" spans="1:10" x14ac:dyDescent="0.25">
      <c r="A7" s="46" t="s">
        <v>221</v>
      </c>
      <c r="B7" s="21" t="s">
        <v>220</v>
      </c>
      <c r="C7" s="44" t="s">
        <v>26</v>
      </c>
      <c r="D7" s="43" t="s">
        <v>62</v>
      </c>
      <c r="E7" s="45">
        <v>15000</v>
      </c>
      <c r="G7" s="66" t="s">
        <v>228</v>
      </c>
      <c r="H7" s="65" t="s">
        <v>191</v>
      </c>
      <c r="I7" s="64"/>
      <c r="J7" s="63"/>
    </row>
    <row r="8" spans="1:10" x14ac:dyDescent="0.25">
      <c r="A8" s="46" t="s">
        <v>219</v>
      </c>
      <c r="B8" s="21" t="s">
        <v>218</v>
      </c>
      <c r="C8" s="44" t="s">
        <v>27</v>
      </c>
      <c r="D8" s="43" t="s">
        <v>69</v>
      </c>
      <c r="E8" s="45">
        <v>9000</v>
      </c>
      <c r="G8" s="62" t="s">
        <v>192</v>
      </c>
      <c r="H8" s="44" t="s">
        <v>69</v>
      </c>
      <c r="I8" s="61" t="s">
        <v>71</v>
      </c>
      <c r="J8" s="61" t="s">
        <v>235</v>
      </c>
    </row>
    <row r="9" spans="1:10" x14ac:dyDescent="0.25">
      <c r="A9" s="46" t="s">
        <v>216</v>
      </c>
      <c r="B9" s="21" t="s">
        <v>215</v>
      </c>
      <c r="C9" s="44" t="s">
        <v>26</v>
      </c>
      <c r="D9" s="43" t="s">
        <v>71</v>
      </c>
      <c r="E9" s="45">
        <v>10000</v>
      </c>
      <c r="G9" s="43" t="s">
        <v>27</v>
      </c>
      <c r="H9" s="54"/>
      <c r="I9" s="54"/>
      <c r="J9" s="54"/>
    </row>
    <row r="10" spans="1:10" x14ac:dyDescent="0.25">
      <c r="A10" s="46" t="s">
        <v>213</v>
      </c>
      <c r="B10" s="21" t="s">
        <v>212</v>
      </c>
      <c r="C10" s="44" t="s">
        <v>27</v>
      </c>
      <c r="D10" s="43" t="s">
        <v>62</v>
      </c>
      <c r="E10" s="45">
        <v>14000</v>
      </c>
      <c r="G10" s="43" t="s">
        <v>26</v>
      </c>
      <c r="H10" s="54"/>
      <c r="I10" s="54"/>
      <c r="J10" s="54"/>
    </row>
    <row r="11" spans="1:10" x14ac:dyDescent="0.25">
      <c r="A11" s="46" t="s">
        <v>211</v>
      </c>
      <c r="B11" s="21" t="s">
        <v>210</v>
      </c>
      <c r="C11" s="44" t="s">
        <v>26</v>
      </c>
      <c r="D11" s="43" t="s">
        <v>71</v>
      </c>
      <c r="E11" s="45">
        <v>29000</v>
      </c>
    </row>
    <row r="12" spans="1:10" x14ac:dyDescent="0.25">
      <c r="A12" s="46" t="s">
        <v>209</v>
      </c>
      <c r="B12" s="21" t="s">
        <v>208</v>
      </c>
      <c r="C12" s="44" t="s">
        <v>26</v>
      </c>
      <c r="D12" s="43" t="s">
        <v>71</v>
      </c>
      <c r="E12" s="45">
        <v>49000</v>
      </c>
    </row>
    <row r="13" spans="1:10" x14ac:dyDescent="0.25">
      <c r="A13" s="46" t="s">
        <v>207</v>
      </c>
      <c r="B13" s="21" t="s">
        <v>206</v>
      </c>
      <c r="C13" s="44" t="s">
        <v>27</v>
      </c>
      <c r="D13" s="43" t="s">
        <v>69</v>
      </c>
      <c r="E13" s="45">
        <v>1000</v>
      </c>
      <c r="G13" s="60"/>
    </row>
    <row r="14" spans="1:10" x14ac:dyDescent="0.25">
      <c r="A14" s="46" t="s">
        <v>204</v>
      </c>
      <c r="B14" s="21" t="s">
        <v>203</v>
      </c>
      <c r="C14" s="44" t="s">
        <v>26</v>
      </c>
      <c r="D14" s="43" t="s">
        <v>71</v>
      </c>
      <c r="E14" s="45">
        <v>25000</v>
      </c>
    </row>
    <row r="15" spans="1:10" x14ac:dyDescent="0.25">
      <c r="A15" s="46" t="s">
        <v>201</v>
      </c>
      <c r="B15" s="21" t="s">
        <v>200</v>
      </c>
      <c r="C15" s="44" t="s">
        <v>26</v>
      </c>
      <c r="D15" s="43" t="s">
        <v>69</v>
      </c>
      <c r="E15" s="45">
        <v>24000</v>
      </c>
    </row>
    <row r="16" spans="1:10" x14ac:dyDescent="0.25">
      <c r="A16" s="46" t="s">
        <v>199</v>
      </c>
      <c r="B16" s="21" t="s">
        <v>198</v>
      </c>
      <c r="C16" s="44" t="s">
        <v>26</v>
      </c>
      <c r="D16" s="43" t="s">
        <v>62</v>
      </c>
      <c r="E16" s="45">
        <v>44000</v>
      </c>
    </row>
    <row r="17" spans="1:5" x14ac:dyDescent="0.25">
      <c r="A17" s="46" t="s">
        <v>197</v>
      </c>
      <c r="B17" s="21" t="s">
        <v>196</v>
      </c>
      <c r="C17" s="44" t="s">
        <v>27</v>
      </c>
      <c r="D17" s="43" t="s">
        <v>62</v>
      </c>
      <c r="E17" s="45">
        <v>5000</v>
      </c>
    </row>
    <row r="18" spans="1:5" x14ac:dyDescent="0.25">
      <c r="A18" s="46" t="s">
        <v>194</v>
      </c>
      <c r="B18" s="21" t="s">
        <v>193</v>
      </c>
      <c r="C18" s="44" t="s">
        <v>27</v>
      </c>
      <c r="D18" s="43" t="s">
        <v>69</v>
      </c>
      <c r="E18" s="45">
        <v>43000</v>
      </c>
    </row>
    <row r="19" spans="1:5" x14ac:dyDescent="0.25">
      <c r="A19" s="46" t="s">
        <v>189</v>
      </c>
      <c r="B19" s="21" t="s">
        <v>188</v>
      </c>
      <c r="C19" s="44" t="s">
        <v>27</v>
      </c>
      <c r="D19" s="43" t="s">
        <v>71</v>
      </c>
      <c r="E19" s="45">
        <v>6000</v>
      </c>
    </row>
    <row r="20" spans="1:5" x14ac:dyDescent="0.25">
      <c r="A20" s="46" t="s">
        <v>187</v>
      </c>
      <c r="B20" s="21" t="s">
        <v>186</v>
      </c>
      <c r="C20" s="44" t="s">
        <v>26</v>
      </c>
      <c r="D20" s="43" t="s">
        <v>62</v>
      </c>
      <c r="E20" s="45">
        <v>48000</v>
      </c>
    </row>
    <row r="21" spans="1:5" x14ac:dyDescent="0.25">
      <c r="A21" s="46" t="s">
        <v>185</v>
      </c>
      <c r="B21" s="21" t="s">
        <v>184</v>
      </c>
      <c r="C21" s="44" t="s">
        <v>27</v>
      </c>
      <c r="D21" s="43" t="s">
        <v>71</v>
      </c>
      <c r="E21" s="45">
        <v>10000</v>
      </c>
    </row>
    <row r="22" spans="1:5" x14ac:dyDescent="0.25">
      <c r="A22" s="46" t="s">
        <v>183</v>
      </c>
      <c r="B22" s="21" t="s">
        <v>182</v>
      </c>
      <c r="C22" s="44" t="s">
        <v>27</v>
      </c>
      <c r="D22" s="43" t="s">
        <v>62</v>
      </c>
      <c r="E22" s="45">
        <v>14000</v>
      </c>
    </row>
    <row r="23" spans="1:5" x14ac:dyDescent="0.25">
      <c r="A23" s="46" t="s">
        <v>181</v>
      </c>
      <c r="B23" s="21" t="s">
        <v>180</v>
      </c>
      <c r="C23" s="44" t="s">
        <v>26</v>
      </c>
      <c r="D23" s="43" t="s">
        <v>69</v>
      </c>
      <c r="E23" s="45">
        <v>40000</v>
      </c>
    </row>
    <row r="24" spans="1:5" x14ac:dyDescent="0.25">
      <c r="A24" s="46" t="s">
        <v>179</v>
      </c>
      <c r="B24" s="21" t="s">
        <v>178</v>
      </c>
      <c r="C24" s="44" t="s">
        <v>26</v>
      </c>
      <c r="D24" s="43" t="s">
        <v>69</v>
      </c>
      <c r="E24" s="45">
        <v>7000</v>
      </c>
    </row>
    <row r="25" spans="1:5" ht="15.75" thickBot="1" x14ac:dyDescent="0.3">
      <c r="A25" s="40" t="s">
        <v>177</v>
      </c>
      <c r="B25" s="39" t="s">
        <v>176</v>
      </c>
      <c r="C25" s="38" t="s">
        <v>27</v>
      </c>
      <c r="D25" s="37" t="s">
        <v>71</v>
      </c>
      <c r="E25" s="36">
        <v>21000</v>
      </c>
    </row>
  </sheetData>
  <mergeCells count="1"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K21"/>
  <sheetViews>
    <sheetView topLeftCell="A13" workbookViewId="0">
      <selection activeCell="B21" sqref="B21"/>
    </sheetView>
  </sheetViews>
  <sheetFormatPr baseColWidth="10" defaultRowHeight="15" x14ac:dyDescent="0.25"/>
  <cols>
    <col min="1" max="1" width="23" customWidth="1"/>
    <col min="2" max="7" width="8.7109375" customWidth="1"/>
    <col min="9" max="9" width="14" customWidth="1"/>
  </cols>
  <sheetData>
    <row r="1" spans="1:11" ht="20.100000000000001" customHeight="1" x14ac:dyDescent="0.25"/>
    <row r="2" spans="1:11" ht="20.100000000000001" customHeight="1" x14ac:dyDescent="0.25"/>
    <row r="3" spans="1:11" ht="20.100000000000001" customHeight="1" x14ac:dyDescent="0.3">
      <c r="A3" s="8" t="s">
        <v>16</v>
      </c>
      <c r="C3" s="6"/>
      <c r="D3" s="6"/>
      <c r="E3" s="6"/>
      <c r="F3" s="6"/>
      <c r="G3" s="6"/>
      <c r="H3" s="6"/>
      <c r="I3" s="6"/>
    </row>
    <row r="4" spans="1:11" ht="20.10000000000000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11" ht="20.100000000000001" customHeight="1" x14ac:dyDescent="0.25">
      <c r="A5" s="3" t="s">
        <v>3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4</v>
      </c>
      <c r="J5" s="75" t="s">
        <v>233</v>
      </c>
      <c r="K5" s="75" t="s">
        <v>234</v>
      </c>
    </row>
    <row r="6" spans="1:11" ht="20.100000000000001" customHeight="1" x14ac:dyDescent="0.25">
      <c r="A6" s="69" t="s">
        <v>134</v>
      </c>
      <c r="B6" s="5">
        <v>18</v>
      </c>
      <c r="C6" s="5">
        <v>15</v>
      </c>
      <c r="D6" s="5">
        <v>8</v>
      </c>
      <c r="E6" s="5">
        <v>17</v>
      </c>
      <c r="F6" s="5">
        <v>16</v>
      </c>
      <c r="G6" s="5">
        <v>10</v>
      </c>
      <c r="H6" s="70"/>
      <c r="I6" s="7"/>
      <c r="J6" s="76"/>
      <c r="K6" s="77"/>
    </row>
    <row r="7" spans="1:11" ht="20.100000000000001" customHeight="1" x14ac:dyDescent="0.25">
      <c r="A7" s="69" t="s">
        <v>135</v>
      </c>
      <c r="B7" s="5">
        <v>9</v>
      </c>
      <c r="C7" s="5">
        <v>17</v>
      </c>
      <c r="D7" s="5">
        <v>19</v>
      </c>
      <c r="E7" s="5">
        <v>11</v>
      </c>
      <c r="F7" s="5">
        <v>2</v>
      </c>
      <c r="G7" s="5">
        <v>6</v>
      </c>
      <c r="H7" s="70"/>
      <c r="I7" s="7"/>
      <c r="J7" s="76"/>
      <c r="K7" s="77"/>
    </row>
    <row r="8" spans="1:11" ht="20.100000000000001" customHeight="1" x14ac:dyDescent="0.25">
      <c r="A8" s="69" t="s">
        <v>136</v>
      </c>
      <c r="B8" s="5">
        <v>2</v>
      </c>
      <c r="C8" s="5">
        <v>12</v>
      </c>
      <c r="D8" s="5">
        <v>5</v>
      </c>
      <c r="E8" s="5">
        <v>19</v>
      </c>
      <c r="F8" s="5">
        <v>10</v>
      </c>
      <c r="G8" s="5">
        <v>7</v>
      </c>
      <c r="H8" s="70"/>
      <c r="I8" s="7"/>
      <c r="J8" s="76"/>
      <c r="K8" s="77"/>
    </row>
    <row r="9" spans="1:11" ht="20.100000000000001" customHeight="1" x14ac:dyDescent="0.25">
      <c r="A9" s="69" t="s">
        <v>137</v>
      </c>
      <c r="B9" s="5">
        <v>11</v>
      </c>
      <c r="C9" s="5">
        <v>14</v>
      </c>
      <c r="D9" s="5">
        <v>16</v>
      </c>
      <c r="E9" s="5">
        <v>8</v>
      </c>
      <c r="F9" s="5">
        <v>7</v>
      </c>
      <c r="G9" s="5">
        <v>4</v>
      </c>
      <c r="H9" s="70"/>
      <c r="I9" s="7"/>
      <c r="J9" s="76"/>
      <c r="K9" s="77"/>
    </row>
    <row r="10" spans="1:11" ht="20.100000000000001" customHeight="1" x14ac:dyDescent="0.25">
      <c r="A10" s="69" t="s">
        <v>138</v>
      </c>
      <c r="B10" s="5">
        <v>11</v>
      </c>
      <c r="C10" s="5">
        <v>7</v>
      </c>
      <c r="D10" s="5">
        <v>3</v>
      </c>
      <c r="E10" s="5">
        <v>3</v>
      </c>
      <c r="F10" s="5">
        <v>3</v>
      </c>
      <c r="G10" s="5">
        <v>17</v>
      </c>
      <c r="H10" s="70"/>
      <c r="I10" s="7"/>
      <c r="J10" s="76"/>
      <c r="K10" s="77"/>
    </row>
    <row r="11" spans="1:11" ht="20.100000000000001" customHeight="1" x14ac:dyDescent="0.25">
      <c r="A11" s="69" t="s">
        <v>139</v>
      </c>
      <c r="B11" s="5">
        <v>12</v>
      </c>
      <c r="C11" s="5">
        <v>15</v>
      </c>
      <c r="D11" s="5">
        <v>6</v>
      </c>
      <c r="E11" s="5">
        <v>15</v>
      </c>
      <c r="F11" s="5">
        <v>13</v>
      </c>
      <c r="G11" s="5">
        <v>15</v>
      </c>
      <c r="H11" s="70"/>
      <c r="I11" s="7"/>
      <c r="J11" s="76"/>
      <c r="K11" s="77"/>
    </row>
    <row r="12" spans="1:11" ht="20.100000000000001" customHeight="1" x14ac:dyDescent="0.25">
      <c r="A12" s="69" t="s">
        <v>140</v>
      </c>
      <c r="B12" s="5">
        <v>10</v>
      </c>
      <c r="C12" s="5">
        <v>15</v>
      </c>
      <c r="D12" s="5">
        <v>10</v>
      </c>
      <c r="E12" s="5">
        <v>6</v>
      </c>
      <c r="F12" s="5">
        <v>3</v>
      </c>
      <c r="G12" s="5">
        <v>2</v>
      </c>
      <c r="H12" s="70"/>
      <c r="I12" s="7"/>
      <c r="J12" s="76"/>
      <c r="K12" s="77"/>
    </row>
    <row r="13" spans="1:11" ht="20.100000000000001" customHeight="1" x14ac:dyDescent="0.25">
      <c r="A13" s="69" t="s">
        <v>141</v>
      </c>
      <c r="B13" s="5">
        <v>16</v>
      </c>
      <c r="C13" s="5">
        <v>15</v>
      </c>
      <c r="D13" s="5">
        <v>13</v>
      </c>
      <c r="E13" s="5">
        <v>9</v>
      </c>
      <c r="F13" s="5">
        <v>18</v>
      </c>
      <c r="G13" s="5">
        <v>17</v>
      </c>
      <c r="H13" s="70"/>
      <c r="I13" s="7"/>
      <c r="J13" s="76"/>
      <c r="K13" s="77"/>
    </row>
    <row r="14" spans="1:11" ht="20.100000000000001" customHeight="1" x14ac:dyDescent="0.25">
      <c r="A14" s="69" t="s">
        <v>142</v>
      </c>
      <c r="B14" s="5">
        <v>10</v>
      </c>
      <c r="C14" s="5">
        <v>11</v>
      </c>
      <c r="D14" s="5">
        <v>8</v>
      </c>
      <c r="E14" s="5">
        <v>10</v>
      </c>
      <c r="F14" s="5">
        <v>2</v>
      </c>
      <c r="G14" s="5">
        <v>3</v>
      </c>
      <c r="H14" s="70"/>
      <c r="I14" s="7"/>
      <c r="J14" s="76"/>
      <c r="K14" s="77"/>
    </row>
    <row r="15" spans="1:11" ht="20.100000000000001" customHeight="1" x14ac:dyDescent="0.25">
      <c r="A15" s="69" t="s">
        <v>143</v>
      </c>
      <c r="B15" s="5">
        <v>7</v>
      </c>
      <c r="C15" s="5">
        <v>11</v>
      </c>
      <c r="D15" s="5">
        <v>7</v>
      </c>
      <c r="E15" s="5">
        <v>11</v>
      </c>
      <c r="F15" s="5">
        <v>13</v>
      </c>
      <c r="G15" s="5">
        <v>2</v>
      </c>
      <c r="H15" s="70"/>
      <c r="I15" s="7"/>
      <c r="J15" s="76"/>
      <c r="K15" s="77"/>
    </row>
    <row r="16" spans="1:11" ht="20.100000000000001" customHeight="1" x14ac:dyDescent="0.25">
      <c r="A16" s="69" t="s">
        <v>144</v>
      </c>
      <c r="B16" s="5">
        <v>17</v>
      </c>
      <c r="C16" s="5">
        <v>5</v>
      </c>
      <c r="D16" s="5">
        <v>10</v>
      </c>
      <c r="E16" s="5">
        <v>2</v>
      </c>
      <c r="F16" s="5">
        <v>14</v>
      </c>
      <c r="G16" s="5">
        <v>8</v>
      </c>
      <c r="H16" s="70"/>
      <c r="I16" s="7"/>
      <c r="J16" s="76"/>
      <c r="K16" s="77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6"/>
      <c r="B18" s="6"/>
      <c r="C18" s="6"/>
      <c r="D18" s="6"/>
      <c r="E18" s="6"/>
      <c r="F18" s="6"/>
      <c r="G18" s="6"/>
      <c r="H18" s="4"/>
      <c r="I18" s="6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3"/>
      <c r="B20" s="3" t="s">
        <v>24</v>
      </c>
      <c r="C20" s="6"/>
      <c r="D20" s="3" t="s">
        <v>25</v>
      </c>
      <c r="E20" s="1"/>
      <c r="F20" s="1"/>
      <c r="G20" s="1"/>
      <c r="H20" s="1"/>
      <c r="I20" s="1"/>
    </row>
    <row r="21" spans="1:9" x14ac:dyDescent="0.25">
      <c r="A21" s="21" t="s">
        <v>139</v>
      </c>
      <c r="B21" s="7"/>
      <c r="C21" s="6"/>
      <c r="D21" s="7"/>
      <c r="E21" s="1"/>
      <c r="F21" s="1"/>
      <c r="G21" s="1"/>
      <c r="H21" s="1"/>
      <c r="I21" s="1"/>
    </row>
  </sheetData>
  <dataValidations count="1">
    <dataValidation type="list" allowBlank="1" showInputMessage="1" showErrorMessage="1" sqref="A21" xr:uid="{00000000-0002-0000-0300-000000000000}">
      <formula1>$A$6:$A$16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N61"/>
  <sheetViews>
    <sheetView topLeftCell="A25" zoomScale="130" zoomScaleNormal="130" workbookViewId="0">
      <selection activeCell="J26" sqref="J26"/>
    </sheetView>
  </sheetViews>
  <sheetFormatPr baseColWidth="10" defaultRowHeight="15" x14ac:dyDescent="0.25"/>
  <cols>
    <col min="1" max="1" width="8.57031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33" t="s">
        <v>232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33" t="s">
        <v>174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 t="s">
        <v>172</v>
      </c>
      <c r="B4" s="2"/>
      <c r="C4" s="2"/>
      <c r="D4" s="2"/>
      <c r="E4" s="2"/>
      <c r="F4" s="2"/>
      <c r="G4" s="2"/>
      <c r="H4" s="2"/>
      <c r="I4" s="2"/>
      <c r="J4" s="33" t="s">
        <v>173</v>
      </c>
      <c r="K4" s="2"/>
      <c r="L4" s="2"/>
      <c r="M4" s="2"/>
      <c r="N4" s="2"/>
    </row>
    <row r="5" spans="1:14" x14ac:dyDescent="0.25">
      <c r="A5" s="2"/>
      <c r="C5" s="2"/>
      <c r="D5" s="2"/>
      <c r="E5" s="32" t="s">
        <v>162</v>
      </c>
      <c r="F5" s="2"/>
      <c r="G5" s="2"/>
      <c r="H5" s="2"/>
      <c r="I5" s="2"/>
      <c r="J5" s="2"/>
      <c r="K5" s="2"/>
      <c r="L5" s="2"/>
      <c r="M5" s="2"/>
      <c r="N5" s="2"/>
    </row>
    <row r="6" spans="1:14" ht="15.75" thickBot="1" x14ac:dyDescent="0.3">
      <c r="A6" s="23" t="s">
        <v>231</v>
      </c>
      <c r="B6" s="23" t="s">
        <v>169</v>
      </c>
      <c r="C6" s="26" t="s">
        <v>163</v>
      </c>
      <c r="D6" s="2"/>
      <c r="E6" s="23" t="s">
        <v>169</v>
      </c>
      <c r="F6" s="23" t="s">
        <v>149</v>
      </c>
      <c r="G6" s="23" t="s">
        <v>157</v>
      </c>
      <c r="H6" s="23" t="s">
        <v>154</v>
      </c>
      <c r="I6" s="2"/>
      <c r="J6" s="24" t="s">
        <v>169</v>
      </c>
      <c r="K6" s="31" t="s">
        <v>149</v>
      </c>
      <c r="L6" s="31" t="s">
        <v>157</v>
      </c>
      <c r="M6" s="31" t="s">
        <v>154</v>
      </c>
      <c r="N6" s="2"/>
    </row>
    <row r="7" spans="1:14" ht="15.75" thickBot="1" x14ac:dyDescent="0.3">
      <c r="A7" s="23">
        <v>1</v>
      </c>
      <c r="B7" s="24" t="s">
        <v>150</v>
      </c>
      <c r="C7" s="71">
        <v>0.3</v>
      </c>
      <c r="D7" s="2"/>
      <c r="E7" s="24" t="s">
        <v>150</v>
      </c>
      <c r="F7" s="24">
        <v>14000</v>
      </c>
      <c r="G7" s="24">
        <v>34000</v>
      </c>
      <c r="H7" s="24">
        <v>9000</v>
      </c>
      <c r="I7" s="2"/>
      <c r="J7" s="27" t="s">
        <v>150</v>
      </c>
      <c r="K7" s="30">
        <f>SUMIFS($H$15:$H$60,$C$15:$C$60,J7,$D$15:$D$60,$K$6)</f>
        <v>21</v>
      </c>
      <c r="L7" s="29" t="e">
        <f>SUMIFS($G$7:$G$10,$C$15:$C$60,J7,$D$15:$D$60,$L$6)</f>
        <v>#VALUE!</v>
      </c>
      <c r="M7" s="28">
        <f>SUMIFS($H$15:$H$60,$C$15:$C$60,J7,$D$15:$D$60,$K$6)</f>
        <v>21</v>
      </c>
      <c r="N7" s="2"/>
    </row>
    <row r="8" spans="1:14" ht="15.75" thickBot="1" x14ac:dyDescent="0.3">
      <c r="A8" s="23">
        <v>2</v>
      </c>
      <c r="B8" s="24" t="s">
        <v>155</v>
      </c>
      <c r="C8" s="71">
        <v>0.7</v>
      </c>
      <c r="D8" s="2"/>
      <c r="E8" s="24" t="s">
        <v>155</v>
      </c>
      <c r="F8" s="24">
        <v>43000</v>
      </c>
      <c r="G8" s="24">
        <v>51000</v>
      </c>
      <c r="H8" s="24">
        <v>35000</v>
      </c>
      <c r="I8" s="2"/>
      <c r="J8" s="27" t="s">
        <v>155</v>
      </c>
      <c r="K8" s="30">
        <f t="shared" ref="K8:K10" si="0">SUMIFS($H$15:$H$60,$C$15:$C$60,J8,$D$15:$D$60,$K$6)</f>
        <v>25</v>
      </c>
      <c r="L8" s="29" t="e">
        <f t="shared" ref="L8:L10" si="1">SUMIFS($G$7:$G$10,$C$15:$C$60,J8,$D$15:$D$60,$L$6)</f>
        <v>#VALUE!</v>
      </c>
      <c r="M8" s="28">
        <f t="shared" ref="M8:M10" si="2">SUMIFS($H$15:$H$60,$C$15:$C$60,J8,$D$15:$D$60,$K$6)</f>
        <v>25</v>
      </c>
      <c r="N8" s="2"/>
    </row>
    <row r="9" spans="1:14" ht="15.75" thickBot="1" x14ac:dyDescent="0.3">
      <c r="A9" s="23">
        <v>3</v>
      </c>
      <c r="B9" s="24" t="s">
        <v>158</v>
      </c>
      <c r="C9" s="71">
        <v>0.35</v>
      </c>
      <c r="D9" s="2"/>
      <c r="E9" s="24" t="s">
        <v>158</v>
      </c>
      <c r="F9" s="24">
        <v>20000</v>
      </c>
      <c r="G9" s="24">
        <v>23000</v>
      </c>
      <c r="H9" s="24">
        <v>18000</v>
      </c>
      <c r="I9" s="2"/>
      <c r="J9" s="27" t="s">
        <v>158</v>
      </c>
      <c r="K9" s="30">
        <f t="shared" si="0"/>
        <v>23</v>
      </c>
      <c r="L9" s="29" t="e">
        <f t="shared" si="1"/>
        <v>#VALUE!</v>
      </c>
      <c r="M9" s="28">
        <f t="shared" si="2"/>
        <v>23</v>
      </c>
      <c r="N9" s="2"/>
    </row>
    <row r="10" spans="1:14" x14ac:dyDescent="0.25">
      <c r="A10" s="23">
        <v>4</v>
      </c>
      <c r="B10" s="24" t="s">
        <v>160</v>
      </c>
      <c r="C10" s="71">
        <v>0.5</v>
      </c>
      <c r="D10" s="2"/>
      <c r="E10" s="24" t="s">
        <v>160</v>
      </c>
      <c r="F10" s="24">
        <v>42000</v>
      </c>
      <c r="G10" s="24">
        <v>45000</v>
      </c>
      <c r="H10" s="24">
        <v>39000</v>
      </c>
      <c r="I10" s="2"/>
      <c r="J10" s="27" t="s">
        <v>160</v>
      </c>
      <c r="K10" s="30">
        <f t="shared" si="0"/>
        <v>18</v>
      </c>
      <c r="L10" s="29" t="e">
        <f t="shared" si="1"/>
        <v>#VALUE!</v>
      </c>
      <c r="M10" s="28">
        <f t="shared" si="2"/>
        <v>18</v>
      </c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 t="s">
        <v>171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3" t="s">
        <v>170</v>
      </c>
      <c r="C14" s="23" t="s">
        <v>169</v>
      </c>
      <c r="D14" s="23" t="s">
        <v>168</v>
      </c>
      <c r="E14" s="23" t="s">
        <v>167</v>
      </c>
      <c r="F14" s="23" t="s">
        <v>166</v>
      </c>
      <c r="G14" s="23" t="s">
        <v>165</v>
      </c>
      <c r="H14" s="23" t="s">
        <v>164</v>
      </c>
      <c r="I14" s="26" t="s">
        <v>163</v>
      </c>
      <c r="J14" s="25" t="s">
        <v>162</v>
      </c>
      <c r="L14" s="2"/>
      <c r="M14" s="2"/>
      <c r="N14" s="2"/>
    </row>
    <row r="15" spans="1:14" x14ac:dyDescent="0.25">
      <c r="A15" s="2"/>
      <c r="B15" s="24" t="s">
        <v>156</v>
      </c>
      <c r="C15" s="24" t="s">
        <v>155</v>
      </c>
      <c r="D15" s="24" t="s">
        <v>149</v>
      </c>
      <c r="E15" s="24" t="s">
        <v>15</v>
      </c>
      <c r="F15" s="24" t="s">
        <v>148</v>
      </c>
      <c r="G15" s="24" t="s">
        <v>159</v>
      </c>
      <c r="H15" s="23">
        <v>7</v>
      </c>
      <c r="I15" s="72"/>
      <c r="J15" s="22"/>
      <c r="L15" s="2"/>
      <c r="M15" s="2"/>
      <c r="N15" s="2"/>
    </row>
    <row r="16" spans="1:14" x14ac:dyDescent="0.25">
      <c r="A16" s="2"/>
      <c r="B16" s="24" t="s">
        <v>151</v>
      </c>
      <c r="C16" s="24" t="s">
        <v>150</v>
      </c>
      <c r="D16" s="24" t="s">
        <v>157</v>
      </c>
      <c r="E16" s="24" t="s">
        <v>14</v>
      </c>
      <c r="F16" s="24" t="s">
        <v>148</v>
      </c>
      <c r="G16" s="24" t="s">
        <v>152</v>
      </c>
      <c r="H16" s="23">
        <v>2</v>
      </c>
      <c r="I16" s="72"/>
      <c r="J16" s="22"/>
      <c r="L16" s="2"/>
      <c r="M16" s="2"/>
      <c r="N16" s="2"/>
    </row>
    <row r="17" spans="1:14" x14ac:dyDescent="0.25">
      <c r="A17" s="2"/>
      <c r="B17" s="24" t="s">
        <v>151</v>
      </c>
      <c r="C17" s="24" t="s">
        <v>160</v>
      </c>
      <c r="D17" s="24" t="s">
        <v>154</v>
      </c>
      <c r="E17" s="24" t="s">
        <v>14</v>
      </c>
      <c r="F17" s="24" t="s">
        <v>153</v>
      </c>
      <c r="G17" s="24" t="s">
        <v>152</v>
      </c>
      <c r="H17" s="23">
        <v>5</v>
      </c>
      <c r="I17" s="72"/>
      <c r="J17" s="22"/>
      <c r="L17" s="2"/>
      <c r="M17" s="2"/>
      <c r="N17" s="2"/>
    </row>
    <row r="18" spans="1:14" x14ac:dyDescent="0.25">
      <c r="A18" s="2"/>
      <c r="B18" s="24" t="s">
        <v>151</v>
      </c>
      <c r="C18" s="24" t="s">
        <v>158</v>
      </c>
      <c r="D18" s="24" t="s">
        <v>149</v>
      </c>
      <c r="E18" s="24" t="s">
        <v>15</v>
      </c>
      <c r="F18" s="24" t="s">
        <v>148</v>
      </c>
      <c r="G18" s="24" t="s">
        <v>147</v>
      </c>
      <c r="H18" s="23">
        <v>6</v>
      </c>
      <c r="I18" s="72"/>
      <c r="J18" s="22"/>
      <c r="L18" s="2"/>
      <c r="M18" s="2"/>
      <c r="N18" s="2"/>
    </row>
    <row r="19" spans="1:14" x14ac:dyDescent="0.25">
      <c r="A19" s="2"/>
      <c r="B19" s="24" t="s">
        <v>156</v>
      </c>
      <c r="C19" s="24" t="s">
        <v>155</v>
      </c>
      <c r="D19" s="24" t="s">
        <v>157</v>
      </c>
      <c r="E19" s="24" t="s">
        <v>15</v>
      </c>
      <c r="F19" s="24" t="s">
        <v>153</v>
      </c>
      <c r="G19" s="24" t="s">
        <v>159</v>
      </c>
      <c r="H19" s="23">
        <v>8</v>
      </c>
      <c r="I19" s="72"/>
      <c r="J19" s="22"/>
      <c r="L19" s="2"/>
      <c r="M19" s="2"/>
      <c r="N19" s="2"/>
    </row>
    <row r="20" spans="1:14" x14ac:dyDescent="0.25">
      <c r="A20" s="2"/>
      <c r="B20" s="24" t="s">
        <v>151</v>
      </c>
      <c r="C20" s="24" t="s">
        <v>150</v>
      </c>
      <c r="D20" s="24" t="s">
        <v>154</v>
      </c>
      <c r="E20" s="24" t="s">
        <v>15</v>
      </c>
      <c r="F20" s="24" t="s">
        <v>148</v>
      </c>
      <c r="G20" s="24" t="s">
        <v>161</v>
      </c>
      <c r="H20" s="23">
        <v>8</v>
      </c>
      <c r="I20" s="72"/>
      <c r="J20" s="22"/>
      <c r="L20" s="2"/>
      <c r="M20" s="2"/>
      <c r="N20" s="2"/>
    </row>
    <row r="21" spans="1:14" x14ac:dyDescent="0.25">
      <c r="A21" s="2"/>
      <c r="B21" s="24" t="s">
        <v>156</v>
      </c>
      <c r="C21" s="24" t="s">
        <v>160</v>
      </c>
      <c r="D21" s="24" t="s">
        <v>149</v>
      </c>
      <c r="E21" s="24" t="s">
        <v>14</v>
      </c>
      <c r="F21" s="24" t="s">
        <v>148</v>
      </c>
      <c r="G21" s="24" t="s">
        <v>147</v>
      </c>
      <c r="H21" s="23">
        <v>3</v>
      </c>
      <c r="I21" s="72"/>
      <c r="J21" s="22"/>
      <c r="L21" s="2"/>
      <c r="M21" s="2"/>
      <c r="N21" s="2"/>
    </row>
    <row r="22" spans="1:14" x14ac:dyDescent="0.25">
      <c r="A22" s="2"/>
      <c r="B22" s="24" t="s">
        <v>156</v>
      </c>
      <c r="C22" s="24" t="s">
        <v>158</v>
      </c>
      <c r="D22" s="24" t="s">
        <v>157</v>
      </c>
      <c r="E22" s="24" t="s">
        <v>15</v>
      </c>
      <c r="F22" s="24" t="s">
        <v>153</v>
      </c>
      <c r="G22" s="24" t="s">
        <v>152</v>
      </c>
      <c r="H22" s="23">
        <v>7</v>
      </c>
      <c r="I22" s="72"/>
      <c r="J22" s="22"/>
      <c r="L22" s="2"/>
      <c r="M22" s="2"/>
      <c r="N22" s="2"/>
    </row>
    <row r="23" spans="1:14" x14ac:dyDescent="0.25">
      <c r="A23" s="2"/>
      <c r="B23" s="24" t="s">
        <v>156</v>
      </c>
      <c r="C23" s="24" t="s">
        <v>155</v>
      </c>
      <c r="D23" s="24" t="s">
        <v>154</v>
      </c>
      <c r="E23" s="24" t="s">
        <v>14</v>
      </c>
      <c r="F23" s="24" t="s">
        <v>148</v>
      </c>
      <c r="G23" s="24" t="s">
        <v>152</v>
      </c>
      <c r="H23" s="23">
        <v>1</v>
      </c>
      <c r="I23" s="72"/>
      <c r="J23" s="22"/>
      <c r="L23" s="2"/>
      <c r="M23" s="2"/>
      <c r="N23" s="2"/>
    </row>
    <row r="24" spans="1:14" x14ac:dyDescent="0.25">
      <c r="A24" s="2"/>
      <c r="B24" s="24" t="s">
        <v>151</v>
      </c>
      <c r="C24" s="24" t="s">
        <v>150</v>
      </c>
      <c r="D24" s="24" t="s">
        <v>149</v>
      </c>
      <c r="E24" s="24" t="s">
        <v>14</v>
      </c>
      <c r="F24" s="24" t="s">
        <v>153</v>
      </c>
      <c r="G24" s="24" t="s">
        <v>147</v>
      </c>
      <c r="H24" s="23">
        <v>4</v>
      </c>
      <c r="I24" s="72"/>
      <c r="J24" s="22"/>
      <c r="L24" s="2"/>
      <c r="M24" s="2"/>
      <c r="N24" s="2"/>
    </row>
    <row r="25" spans="1:14" x14ac:dyDescent="0.25">
      <c r="A25" s="2"/>
      <c r="B25" s="24" t="s">
        <v>156</v>
      </c>
      <c r="C25" s="24" t="s">
        <v>160</v>
      </c>
      <c r="D25" s="24" t="s">
        <v>157</v>
      </c>
      <c r="E25" s="24" t="s">
        <v>15</v>
      </c>
      <c r="F25" s="24" t="s">
        <v>148</v>
      </c>
      <c r="G25" s="24" t="s">
        <v>159</v>
      </c>
      <c r="H25" s="23">
        <v>6</v>
      </c>
      <c r="I25" s="72"/>
      <c r="J25" s="22"/>
      <c r="L25" s="2"/>
      <c r="M25" s="2"/>
      <c r="N25" s="2"/>
    </row>
    <row r="26" spans="1:14" x14ac:dyDescent="0.25">
      <c r="A26" s="2"/>
      <c r="B26" s="24" t="s">
        <v>151</v>
      </c>
      <c r="C26" s="24" t="s">
        <v>158</v>
      </c>
      <c r="D26" s="24" t="s">
        <v>154</v>
      </c>
      <c r="E26" s="24" t="s">
        <v>15</v>
      </c>
      <c r="F26" s="24" t="s">
        <v>148</v>
      </c>
      <c r="G26" s="24" t="s">
        <v>161</v>
      </c>
      <c r="H26" s="23">
        <v>3</v>
      </c>
      <c r="I26" s="72"/>
      <c r="J26" s="22"/>
      <c r="L26" s="2"/>
      <c r="M26" s="2"/>
      <c r="N26" s="2"/>
    </row>
    <row r="27" spans="1:14" x14ac:dyDescent="0.25">
      <c r="A27" s="2"/>
      <c r="B27" s="24" t="s">
        <v>151</v>
      </c>
      <c r="C27" s="24" t="s">
        <v>155</v>
      </c>
      <c r="D27" s="24" t="s">
        <v>149</v>
      </c>
      <c r="E27" s="24" t="s">
        <v>14</v>
      </c>
      <c r="F27" s="24" t="s">
        <v>153</v>
      </c>
      <c r="G27" s="24" t="s">
        <v>161</v>
      </c>
      <c r="H27" s="23">
        <v>9</v>
      </c>
      <c r="I27" s="72"/>
      <c r="J27" s="22"/>
      <c r="L27" s="2"/>
      <c r="M27" s="2"/>
      <c r="N27" s="2"/>
    </row>
    <row r="28" spans="1:14" x14ac:dyDescent="0.25">
      <c r="A28" s="2"/>
      <c r="B28" s="24" t="s">
        <v>156</v>
      </c>
      <c r="C28" s="24" t="s">
        <v>150</v>
      </c>
      <c r="D28" s="24" t="s">
        <v>157</v>
      </c>
      <c r="E28" s="24" t="s">
        <v>15</v>
      </c>
      <c r="F28" s="24" t="s">
        <v>148</v>
      </c>
      <c r="G28" s="24" t="s">
        <v>152</v>
      </c>
      <c r="H28" s="23">
        <v>6</v>
      </c>
      <c r="I28" s="72"/>
      <c r="J28" s="22"/>
      <c r="L28" s="2"/>
      <c r="M28" s="2"/>
      <c r="N28" s="2"/>
    </row>
    <row r="29" spans="1:14" x14ac:dyDescent="0.25">
      <c r="A29" s="2"/>
      <c r="B29" s="24" t="s">
        <v>151</v>
      </c>
      <c r="C29" s="24" t="s">
        <v>160</v>
      </c>
      <c r="D29" s="24" t="s">
        <v>154</v>
      </c>
      <c r="E29" s="24" t="s">
        <v>15</v>
      </c>
      <c r="F29" s="24" t="s">
        <v>153</v>
      </c>
      <c r="G29" s="24" t="s">
        <v>147</v>
      </c>
      <c r="H29" s="23">
        <v>1</v>
      </c>
      <c r="I29" s="72"/>
      <c r="J29" s="22"/>
      <c r="L29" s="2"/>
      <c r="M29" s="2"/>
      <c r="N29" s="2"/>
    </row>
    <row r="30" spans="1:14" x14ac:dyDescent="0.25">
      <c r="A30" s="2"/>
      <c r="B30" s="24" t="s">
        <v>151</v>
      </c>
      <c r="C30" s="24" t="s">
        <v>158</v>
      </c>
      <c r="D30" s="24" t="s">
        <v>149</v>
      </c>
      <c r="E30" s="24" t="s">
        <v>14</v>
      </c>
      <c r="F30" s="24" t="s">
        <v>148</v>
      </c>
      <c r="G30" s="24" t="s">
        <v>147</v>
      </c>
      <c r="H30" s="23">
        <v>8</v>
      </c>
      <c r="I30" s="72"/>
      <c r="J30" s="22"/>
      <c r="L30" s="2"/>
      <c r="M30" s="2"/>
      <c r="N30" s="2"/>
    </row>
    <row r="31" spans="1:14" x14ac:dyDescent="0.25">
      <c r="A31" s="2"/>
      <c r="B31" s="24" t="s">
        <v>156</v>
      </c>
      <c r="C31" s="24" t="s">
        <v>155</v>
      </c>
      <c r="D31" s="24" t="s">
        <v>157</v>
      </c>
      <c r="E31" s="24" t="s">
        <v>14</v>
      </c>
      <c r="F31" s="24" t="s">
        <v>148</v>
      </c>
      <c r="G31" s="24" t="s">
        <v>159</v>
      </c>
      <c r="H31" s="23">
        <v>4</v>
      </c>
      <c r="I31" s="72"/>
      <c r="J31" s="22"/>
      <c r="L31" s="2"/>
      <c r="M31" s="2"/>
      <c r="N31" s="2"/>
    </row>
    <row r="32" spans="1:14" x14ac:dyDescent="0.25">
      <c r="A32" s="2"/>
      <c r="B32" s="24" t="s">
        <v>156</v>
      </c>
      <c r="C32" s="24" t="s">
        <v>150</v>
      </c>
      <c r="D32" s="24" t="s">
        <v>154</v>
      </c>
      <c r="E32" s="24" t="s">
        <v>15</v>
      </c>
      <c r="F32" s="24" t="s">
        <v>153</v>
      </c>
      <c r="G32" s="24" t="s">
        <v>161</v>
      </c>
      <c r="H32" s="23">
        <v>7</v>
      </c>
      <c r="I32" s="72"/>
      <c r="J32" s="22"/>
      <c r="L32" s="2"/>
      <c r="M32" s="2"/>
      <c r="N32" s="2"/>
    </row>
    <row r="33" spans="1:14" x14ac:dyDescent="0.25">
      <c r="A33" s="2"/>
      <c r="B33" s="24" t="s">
        <v>151</v>
      </c>
      <c r="C33" s="24" t="s">
        <v>160</v>
      </c>
      <c r="D33" s="24" t="s">
        <v>149</v>
      </c>
      <c r="E33" s="24" t="s">
        <v>15</v>
      </c>
      <c r="F33" s="24" t="s">
        <v>148</v>
      </c>
      <c r="G33" s="24" t="s">
        <v>159</v>
      </c>
      <c r="H33" s="23">
        <v>5</v>
      </c>
      <c r="I33" s="72"/>
      <c r="J33" s="22"/>
      <c r="L33" s="2"/>
      <c r="M33" s="2"/>
      <c r="N33" s="2"/>
    </row>
    <row r="34" spans="1:14" x14ac:dyDescent="0.25">
      <c r="A34" s="2"/>
      <c r="B34" s="24" t="s">
        <v>156</v>
      </c>
      <c r="C34" s="24" t="s">
        <v>158</v>
      </c>
      <c r="D34" s="24" t="s">
        <v>157</v>
      </c>
      <c r="E34" s="24" t="s">
        <v>15</v>
      </c>
      <c r="F34" s="24" t="s">
        <v>153</v>
      </c>
      <c r="G34" s="24" t="s">
        <v>159</v>
      </c>
      <c r="H34" s="23">
        <v>3</v>
      </c>
      <c r="I34" s="72"/>
      <c r="J34" s="22"/>
      <c r="L34" s="2"/>
      <c r="M34" s="2"/>
      <c r="N34" s="2"/>
    </row>
    <row r="35" spans="1:14" x14ac:dyDescent="0.25">
      <c r="A35" s="2"/>
      <c r="B35" s="24" t="s">
        <v>151</v>
      </c>
      <c r="C35" s="24" t="s">
        <v>155</v>
      </c>
      <c r="D35" s="24" t="s">
        <v>154</v>
      </c>
      <c r="E35" s="24" t="s">
        <v>14</v>
      </c>
      <c r="F35" s="24" t="s">
        <v>148</v>
      </c>
      <c r="G35" s="24" t="s">
        <v>152</v>
      </c>
      <c r="H35" s="23">
        <v>1</v>
      </c>
      <c r="I35" s="72"/>
      <c r="J35" s="22"/>
      <c r="L35" s="2"/>
      <c r="M35" s="2"/>
      <c r="N35" s="2"/>
    </row>
    <row r="36" spans="1:14" x14ac:dyDescent="0.25">
      <c r="A36" s="2"/>
      <c r="B36" s="24" t="s">
        <v>151</v>
      </c>
      <c r="C36" s="24" t="s">
        <v>150</v>
      </c>
      <c r="D36" s="24" t="s">
        <v>149</v>
      </c>
      <c r="E36" s="24" t="s">
        <v>15</v>
      </c>
      <c r="F36" s="24" t="s">
        <v>148</v>
      </c>
      <c r="G36" s="24" t="s">
        <v>147</v>
      </c>
      <c r="H36" s="23">
        <v>9</v>
      </c>
      <c r="I36" s="72"/>
      <c r="J36" s="22"/>
      <c r="L36" s="2"/>
      <c r="M36" s="2"/>
      <c r="N36" s="2"/>
    </row>
    <row r="37" spans="1:14" x14ac:dyDescent="0.25">
      <c r="A37" s="2"/>
      <c r="B37" s="24" t="s">
        <v>156</v>
      </c>
      <c r="C37" s="24" t="s">
        <v>160</v>
      </c>
      <c r="D37" s="24" t="s">
        <v>157</v>
      </c>
      <c r="E37" s="24" t="s">
        <v>14</v>
      </c>
      <c r="F37" s="24" t="s">
        <v>153</v>
      </c>
      <c r="G37" s="24" t="s">
        <v>159</v>
      </c>
      <c r="H37" s="23">
        <v>7</v>
      </c>
      <c r="I37" s="72"/>
      <c r="J37" s="22"/>
      <c r="L37" s="2"/>
      <c r="M37" s="2"/>
      <c r="N37" s="2"/>
    </row>
    <row r="38" spans="1:14" x14ac:dyDescent="0.25">
      <c r="A38" s="2"/>
      <c r="B38" s="24" t="s">
        <v>151</v>
      </c>
      <c r="C38" s="24" t="s">
        <v>158</v>
      </c>
      <c r="D38" s="24" t="s">
        <v>154</v>
      </c>
      <c r="E38" s="24" t="s">
        <v>14</v>
      </c>
      <c r="F38" s="24" t="s">
        <v>148</v>
      </c>
      <c r="G38" s="24" t="s">
        <v>161</v>
      </c>
      <c r="H38" s="23">
        <v>8</v>
      </c>
      <c r="I38" s="72"/>
      <c r="J38" s="22"/>
      <c r="L38" s="2"/>
      <c r="M38" s="2"/>
      <c r="N38" s="2"/>
    </row>
    <row r="39" spans="1:14" x14ac:dyDescent="0.25">
      <c r="A39" s="2"/>
      <c r="B39" s="24" t="s">
        <v>156</v>
      </c>
      <c r="C39" s="24" t="s">
        <v>155</v>
      </c>
      <c r="D39" s="24" t="s">
        <v>149</v>
      </c>
      <c r="E39" s="24" t="s">
        <v>15</v>
      </c>
      <c r="F39" s="24" t="s">
        <v>153</v>
      </c>
      <c r="G39" s="24" t="s">
        <v>159</v>
      </c>
      <c r="H39" s="23">
        <v>6</v>
      </c>
      <c r="I39" s="72"/>
      <c r="J39" s="22"/>
      <c r="L39" s="2"/>
      <c r="M39" s="2"/>
      <c r="N39" s="2"/>
    </row>
    <row r="40" spans="1:14" x14ac:dyDescent="0.25">
      <c r="A40" s="2"/>
      <c r="B40" s="24" t="s">
        <v>151</v>
      </c>
      <c r="C40" s="24" t="s">
        <v>150</v>
      </c>
      <c r="D40" s="24" t="s">
        <v>157</v>
      </c>
      <c r="E40" s="24" t="s">
        <v>15</v>
      </c>
      <c r="F40" s="24" t="s">
        <v>148</v>
      </c>
      <c r="G40" s="24" t="s">
        <v>152</v>
      </c>
      <c r="H40" s="23">
        <v>5</v>
      </c>
      <c r="I40" s="72"/>
      <c r="J40" s="22"/>
      <c r="L40" s="2"/>
      <c r="M40" s="2"/>
      <c r="N40" s="2"/>
    </row>
    <row r="41" spans="1:14" x14ac:dyDescent="0.25">
      <c r="A41" s="2"/>
      <c r="B41" s="24" t="s">
        <v>151</v>
      </c>
      <c r="C41" s="24" t="s">
        <v>160</v>
      </c>
      <c r="D41" s="24" t="s">
        <v>154</v>
      </c>
      <c r="E41" s="24" t="s">
        <v>14</v>
      </c>
      <c r="F41" s="24" t="s">
        <v>148</v>
      </c>
      <c r="G41" s="24" t="s">
        <v>152</v>
      </c>
      <c r="H41" s="23">
        <v>5</v>
      </c>
      <c r="I41" s="72"/>
      <c r="J41" s="22"/>
      <c r="L41" s="2"/>
      <c r="M41" s="2"/>
      <c r="N41" s="2"/>
    </row>
    <row r="42" spans="1:14" x14ac:dyDescent="0.25">
      <c r="A42" s="2"/>
      <c r="B42" s="24" t="s">
        <v>151</v>
      </c>
      <c r="C42" s="24" t="s">
        <v>158</v>
      </c>
      <c r="D42" s="24" t="s">
        <v>149</v>
      </c>
      <c r="E42" s="24" t="s">
        <v>15</v>
      </c>
      <c r="F42" s="24" t="s">
        <v>153</v>
      </c>
      <c r="G42" s="24" t="s">
        <v>147</v>
      </c>
      <c r="H42" s="23">
        <v>1</v>
      </c>
      <c r="I42" s="72"/>
      <c r="J42" s="22"/>
      <c r="L42" s="2"/>
      <c r="M42" s="2"/>
      <c r="N42" s="2"/>
    </row>
    <row r="43" spans="1:14" x14ac:dyDescent="0.25">
      <c r="A43" s="2"/>
      <c r="B43" s="24" t="s">
        <v>156</v>
      </c>
      <c r="C43" s="24" t="s">
        <v>155</v>
      </c>
      <c r="D43" s="24" t="s">
        <v>157</v>
      </c>
      <c r="E43" s="24" t="s">
        <v>15</v>
      </c>
      <c r="F43" s="24" t="s">
        <v>148</v>
      </c>
      <c r="G43" s="24" t="s">
        <v>159</v>
      </c>
      <c r="H43" s="23">
        <v>7</v>
      </c>
      <c r="I43" s="72"/>
      <c r="J43" s="22"/>
      <c r="L43" s="2"/>
      <c r="M43" s="2"/>
      <c r="N43" s="2"/>
    </row>
    <row r="44" spans="1:14" x14ac:dyDescent="0.25">
      <c r="A44" s="2"/>
      <c r="B44" s="24" t="s">
        <v>151</v>
      </c>
      <c r="C44" s="24" t="s">
        <v>150</v>
      </c>
      <c r="D44" s="24" t="s">
        <v>154</v>
      </c>
      <c r="E44" s="24" t="s">
        <v>14</v>
      </c>
      <c r="F44" s="24" t="s">
        <v>153</v>
      </c>
      <c r="G44" s="24" t="s">
        <v>161</v>
      </c>
      <c r="H44" s="23">
        <v>5</v>
      </c>
      <c r="I44" s="72"/>
      <c r="J44" s="22"/>
      <c r="L44" s="2"/>
      <c r="M44" s="2"/>
      <c r="N44" s="2"/>
    </row>
    <row r="45" spans="1:14" x14ac:dyDescent="0.25">
      <c r="A45" s="2"/>
      <c r="B45" s="24" t="s">
        <v>151</v>
      </c>
      <c r="C45" s="24" t="s">
        <v>160</v>
      </c>
      <c r="D45" s="24" t="s">
        <v>149</v>
      </c>
      <c r="E45" s="24" t="s">
        <v>14</v>
      </c>
      <c r="F45" s="24" t="s">
        <v>148</v>
      </c>
      <c r="G45" s="24" t="s">
        <v>159</v>
      </c>
      <c r="H45" s="23">
        <v>8</v>
      </c>
      <c r="I45" s="72"/>
      <c r="J45" s="22"/>
      <c r="L45" s="2"/>
      <c r="M45" s="2"/>
      <c r="N45" s="2"/>
    </row>
    <row r="46" spans="1:14" x14ac:dyDescent="0.25">
      <c r="A46" s="2"/>
      <c r="B46" s="24" t="s">
        <v>151</v>
      </c>
      <c r="C46" s="24" t="s">
        <v>158</v>
      </c>
      <c r="D46" s="24" t="s">
        <v>157</v>
      </c>
      <c r="E46" s="24" t="s">
        <v>15</v>
      </c>
      <c r="F46" s="24" t="s">
        <v>148</v>
      </c>
      <c r="G46" s="24" t="s">
        <v>159</v>
      </c>
      <c r="H46" s="23">
        <v>4</v>
      </c>
      <c r="I46" s="72"/>
      <c r="J46" s="22"/>
      <c r="L46" s="2"/>
      <c r="M46" s="2"/>
      <c r="N46" s="2"/>
    </row>
    <row r="47" spans="1:14" x14ac:dyDescent="0.25">
      <c r="A47" s="2"/>
      <c r="B47" s="24" t="s">
        <v>156</v>
      </c>
      <c r="C47" s="24" t="s">
        <v>155</v>
      </c>
      <c r="D47" s="24" t="s">
        <v>154</v>
      </c>
      <c r="E47" s="24" t="s">
        <v>15</v>
      </c>
      <c r="F47" s="24" t="s">
        <v>153</v>
      </c>
      <c r="G47" s="24" t="s">
        <v>152</v>
      </c>
      <c r="H47" s="23">
        <v>5</v>
      </c>
      <c r="I47" s="72"/>
      <c r="J47" s="22"/>
      <c r="L47" s="2"/>
      <c r="M47" s="2"/>
      <c r="N47" s="2"/>
    </row>
    <row r="48" spans="1:14" x14ac:dyDescent="0.25">
      <c r="A48" s="2"/>
      <c r="B48" s="24" t="s">
        <v>156</v>
      </c>
      <c r="C48" s="24" t="s">
        <v>150</v>
      </c>
      <c r="D48" s="24" t="s">
        <v>149</v>
      </c>
      <c r="E48" s="24" t="s">
        <v>15</v>
      </c>
      <c r="F48" s="24" t="s">
        <v>148</v>
      </c>
      <c r="G48" s="24" t="s">
        <v>147</v>
      </c>
      <c r="H48" s="23">
        <v>6</v>
      </c>
      <c r="I48" s="72"/>
      <c r="J48" s="22"/>
      <c r="L48" s="2"/>
      <c r="M48" s="2"/>
      <c r="N48" s="2"/>
    </row>
    <row r="49" spans="1:14" x14ac:dyDescent="0.25">
      <c r="A49" s="2"/>
      <c r="B49" s="24" t="s">
        <v>151</v>
      </c>
      <c r="C49" s="24" t="s">
        <v>160</v>
      </c>
      <c r="D49" s="24" t="s">
        <v>157</v>
      </c>
      <c r="E49" s="24" t="s">
        <v>14</v>
      </c>
      <c r="F49" s="24" t="s">
        <v>153</v>
      </c>
      <c r="G49" s="24" t="s">
        <v>159</v>
      </c>
      <c r="H49" s="23">
        <v>3</v>
      </c>
      <c r="I49" s="72"/>
      <c r="J49" s="22"/>
      <c r="L49" s="2"/>
      <c r="M49" s="2"/>
      <c r="N49" s="2"/>
    </row>
    <row r="50" spans="1:14" x14ac:dyDescent="0.25">
      <c r="A50" s="2"/>
      <c r="B50" s="24" t="s">
        <v>156</v>
      </c>
      <c r="C50" s="24" t="s">
        <v>158</v>
      </c>
      <c r="D50" s="24" t="s">
        <v>154</v>
      </c>
      <c r="E50" s="24" t="s">
        <v>15</v>
      </c>
      <c r="F50" s="24" t="s">
        <v>148</v>
      </c>
      <c r="G50" s="24" t="s">
        <v>161</v>
      </c>
      <c r="H50" s="23">
        <v>3</v>
      </c>
      <c r="I50" s="72"/>
      <c r="J50" s="22"/>
      <c r="L50" s="2"/>
      <c r="M50" s="2"/>
      <c r="N50" s="2"/>
    </row>
    <row r="51" spans="1:14" x14ac:dyDescent="0.25">
      <c r="A51" s="2"/>
      <c r="B51" s="24" t="s">
        <v>151</v>
      </c>
      <c r="C51" s="24" t="s">
        <v>155</v>
      </c>
      <c r="D51" s="24" t="s">
        <v>149</v>
      </c>
      <c r="E51" s="24" t="s">
        <v>14</v>
      </c>
      <c r="F51" s="24" t="s">
        <v>148</v>
      </c>
      <c r="G51" s="24" t="s">
        <v>161</v>
      </c>
      <c r="H51" s="23">
        <v>3</v>
      </c>
      <c r="I51" s="72"/>
      <c r="J51" s="22"/>
      <c r="L51" s="2"/>
      <c r="M51" s="2"/>
      <c r="N51" s="2"/>
    </row>
    <row r="52" spans="1:14" x14ac:dyDescent="0.25">
      <c r="A52" s="2"/>
      <c r="B52" s="24" t="s">
        <v>151</v>
      </c>
      <c r="C52" s="24" t="s">
        <v>150</v>
      </c>
      <c r="D52" s="24" t="s">
        <v>157</v>
      </c>
      <c r="E52" s="24" t="s">
        <v>14</v>
      </c>
      <c r="F52" s="24" t="s">
        <v>153</v>
      </c>
      <c r="G52" s="24" t="s">
        <v>152</v>
      </c>
      <c r="H52" s="23">
        <v>5</v>
      </c>
      <c r="I52" s="72"/>
      <c r="J52" s="22"/>
      <c r="L52" s="2"/>
      <c r="M52" s="2"/>
      <c r="N52" s="2"/>
    </row>
    <row r="53" spans="1:14" x14ac:dyDescent="0.25">
      <c r="A53" s="2"/>
      <c r="B53" s="24" t="s">
        <v>156</v>
      </c>
      <c r="C53" s="24" t="s">
        <v>160</v>
      </c>
      <c r="D53" s="24" t="s">
        <v>154</v>
      </c>
      <c r="E53" s="24" t="s">
        <v>15</v>
      </c>
      <c r="F53" s="24" t="s">
        <v>148</v>
      </c>
      <c r="G53" s="24" t="s">
        <v>152</v>
      </c>
      <c r="H53" s="23">
        <v>9</v>
      </c>
      <c r="I53" s="72"/>
      <c r="J53" s="22"/>
      <c r="L53" s="2"/>
      <c r="M53" s="2"/>
      <c r="N53" s="2"/>
    </row>
    <row r="54" spans="1:14" x14ac:dyDescent="0.25">
      <c r="A54" s="2"/>
      <c r="B54" s="24" t="s">
        <v>151</v>
      </c>
      <c r="C54" s="24" t="s">
        <v>158</v>
      </c>
      <c r="D54" s="24" t="s">
        <v>149</v>
      </c>
      <c r="E54" s="24" t="s">
        <v>15</v>
      </c>
      <c r="F54" s="24" t="s">
        <v>153</v>
      </c>
      <c r="G54" s="24" t="s">
        <v>147</v>
      </c>
      <c r="H54" s="23">
        <v>8</v>
      </c>
      <c r="I54" s="72"/>
      <c r="J54" s="22"/>
      <c r="L54" s="2"/>
      <c r="M54" s="2"/>
      <c r="N54" s="2"/>
    </row>
    <row r="55" spans="1:14" x14ac:dyDescent="0.25">
      <c r="A55" s="2"/>
      <c r="B55" s="24" t="s">
        <v>156</v>
      </c>
      <c r="C55" s="24" t="s">
        <v>155</v>
      </c>
      <c r="D55" s="24" t="s">
        <v>157</v>
      </c>
      <c r="E55" s="24" t="s">
        <v>14</v>
      </c>
      <c r="F55" s="24" t="s">
        <v>148</v>
      </c>
      <c r="G55" s="24" t="s">
        <v>159</v>
      </c>
      <c r="H55" s="23">
        <v>5</v>
      </c>
      <c r="I55" s="72"/>
      <c r="J55" s="22"/>
      <c r="L55" s="2"/>
      <c r="M55" s="2"/>
      <c r="N55" s="2"/>
    </row>
    <row r="56" spans="1:14" x14ac:dyDescent="0.25">
      <c r="A56" s="2"/>
      <c r="B56" s="24" t="s">
        <v>151</v>
      </c>
      <c r="C56" s="24" t="s">
        <v>150</v>
      </c>
      <c r="D56" s="24" t="s">
        <v>154</v>
      </c>
      <c r="E56" s="24" t="s">
        <v>15</v>
      </c>
      <c r="F56" s="24" t="s">
        <v>148</v>
      </c>
      <c r="G56" s="24" t="s">
        <v>161</v>
      </c>
      <c r="H56" s="23">
        <v>5</v>
      </c>
      <c r="I56" s="72"/>
      <c r="J56" s="22"/>
      <c r="L56" s="2"/>
      <c r="M56" s="2"/>
      <c r="N56" s="2"/>
    </row>
    <row r="57" spans="1:14" x14ac:dyDescent="0.25">
      <c r="A57" s="2"/>
      <c r="B57" s="24" t="s">
        <v>151</v>
      </c>
      <c r="C57" s="24" t="s">
        <v>160</v>
      </c>
      <c r="D57" s="24" t="s">
        <v>149</v>
      </c>
      <c r="E57" s="24" t="s">
        <v>15</v>
      </c>
      <c r="F57" s="24" t="s">
        <v>153</v>
      </c>
      <c r="G57" s="24" t="s">
        <v>159</v>
      </c>
      <c r="H57" s="23">
        <v>2</v>
      </c>
      <c r="I57" s="72"/>
      <c r="J57" s="22"/>
      <c r="L57" s="2"/>
      <c r="M57" s="2"/>
      <c r="N57" s="2"/>
    </row>
    <row r="58" spans="1:14" x14ac:dyDescent="0.25">
      <c r="A58" s="2"/>
      <c r="B58" s="24" t="s">
        <v>151</v>
      </c>
      <c r="C58" s="24" t="s">
        <v>158</v>
      </c>
      <c r="D58" s="24" t="s">
        <v>157</v>
      </c>
      <c r="E58" s="24" t="s">
        <v>14</v>
      </c>
      <c r="F58" s="24" t="s">
        <v>148</v>
      </c>
      <c r="G58" s="24" t="s">
        <v>152</v>
      </c>
      <c r="H58" s="23">
        <v>1</v>
      </c>
      <c r="I58" s="72"/>
      <c r="J58" s="22"/>
      <c r="L58" s="2"/>
      <c r="M58" s="2"/>
      <c r="N58" s="2"/>
    </row>
    <row r="59" spans="1:14" x14ac:dyDescent="0.25">
      <c r="A59" s="2"/>
      <c r="B59" s="24" t="s">
        <v>156</v>
      </c>
      <c r="C59" s="24" t="s">
        <v>155</v>
      </c>
      <c r="D59" s="24" t="s">
        <v>154</v>
      </c>
      <c r="E59" s="24" t="s">
        <v>14</v>
      </c>
      <c r="F59" s="24" t="s">
        <v>153</v>
      </c>
      <c r="G59" s="24" t="s">
        <v>152</v>
      </c>
      <c r="H59" s="23">
        <v>2</v>
      </c>
      <c r="I59" s="72"/>
      <c r="J59" s="22"/>
      <c r="L59" s="2"/>
      <c r="M59" s="2"/>
      <c r="N59" s="2"/>
    </row>
    <row r="60" spans="1:14" x14ac:dyDescent="0.25">
      <c r="A60" s="2"/>
      <c r="B60" s="24" t="s">
        <v>151</v>
      </c>
      <c r="C60" s="24" t="s">
        <v>150</v>
      </c>
      <c r="D60" s="24" t="s">
        <v>149</v>
      </c>
      <c r="E60" s="24" t="s">
        <v>15</v>
      </c>
      <c r="F60" s="24" t="s">
        <v>148</v>
      </c>
      <c r="G60" s="24" t="s">
        <v>147</v>
      </c>
      <c r="H60" s="23">
        <v>2</v>
      </c>
      <c r="I60" s="72"/>
      <c r="J60" s="2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L61" s="2"/>
      <c r="M61" s="2"/>
      <c r="N61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2:H107"/>
  <sheetViews>
    <sheetView tabSelected="1" workbookViewId="0">
      <selection activeCell="L14" sqref="L14"/>
    </sheetView>
  </sheetViews>
  <sheetFormatPr baseColWidth="10" defaultRowHeight="15" x14ac:dyDescent="0.25"/>
  <cols>
    <col min="1" max="3" width="12.7109375" customWidth="1"/>
    <col min="6" max="6" width="14.7109375" customWidth="1"/>
    <col min="8" max="8" width="16.7109375" bestFit="1" customWidth="1"/>
  </cols>
  <sheetData>
    <row r="2" spans="1:8" x14ac:dyDescent="0.25">
      <c r="A2" s="11"/>
      <c r="B2" s="9" t="s">
        <v>145</v>
      </c>
      <c r="C2" s="10"/>
      <c r="D2" s="10"/>
      <c r="E2" s="10"/>
      <c r="F2" s="10"/>
      <c r="G2" s="10"/>
      <c r="H2" s="73"/>
    </row>
    <row r="3" spans="1:8" x14ac:dyDescent="0.25">
      <c r="A3" s="10"/>
      <c r="B3" s="10"/>
      <c r="C3" s="10"/>
      <c r="D3" s="10"/>
      <c r="E3" s="10"/>
      <c r="F3" s="10"/>
      <c r="G3" s="10"/>
    </row>
    <row r="4" spans="1:8" x14ac:dyDescent="0.25">
      <c r="A4" s="12"/>
      <c r="B4" s="9" t="s">
        <v>146</v>
      </c>
      <c r="C4" s="10"/>
      <c r="D4" s="10"/>
      <c r="E4" s="10"/>
      <c r="F4" s="10"/>
      <c r="G4" s="10"/>
      <c r="H4" s="74"/>
    </row>
    <row r="5" spans="1:8" x14ac:dyDescent="0.25">
      <c r="A5" s="10"/>
      <c r="B5" s="10"/>
      <c r="C5" s="10"/>
      <c r="D5" s="10"/>
      <c r="E5" s="10"/>
      <c r="F5" s="10"/>
      <c r="G5" s="10"/>
    </row>
    <row r="6" spans="1:8" x14ac:dyDescent="0.25">
      <c r="A6" s="2"/>
      <c r="B6" s="2"/>
      <c r="C6" s="2"/>
      <c r="D6" s="2"/>
      <c r="E6" s="2"/>
      <c r="F6" s="2"/>
      <c r="G6" s="2"/>
    </row>
    <row r="7" spans="1:8" ht="30" x14ac:dyDescent="0.25">
      <c r="A7" s="19" t="s">
        <v>3</v>
      </c>
      <c r="B7" s="19" t="s">
        <v>52</v>
      </c>
      <c r="C7" s="19" t="s">
        <v>12</v>
      </c>
      <c r="D7" s="20" t="s">
        <v>53</v>
      </c>
      <c r="E7" s="19" t="s">
        <v>54</v>
      </c>
      <c r="F7" s="19" t="s">
        <v>55</v>
      </c>
      <c r="G7" s="19" t="s">
        <v>56</v>
      </c>
    </row>
    <row r="8" spans="1:8" x14ac:dyDescent="0.25">
      <c r="A8" s="17" t="s">
        <v>66</v>
      </c>
      <c r="B8" s="17" t="s">
        <v>64</v>
      </c>
      <c r="C8" s="17" t="s">
        <v>0</v>
      </c>
      <c r="D8" s="13">
        <v>128.80000000000001</v>
      </c>
      <c r="E8" s="14">
        <v>14</v>
      </c>
      <c r="F8" s="15" t="s">
        <v>63</v>
      </c>
      <c r="G8" s="16">
        <v>1</v>
      </c>
    </row>
    <row r="9" spans="1:8" x14ac:dyDescent="0.25">
      <c r="A9" s="17" t="s">
        <v>111</v>
      </c>
      <c r="B9" s="17" t="s">
        <v>64</v>
      </c>
      <c r="C9" s="17" t="s">
        <v>68</v>
      </c>
      <c r="D9" s="13">
        <v>119.6</v>
      </c>
      <c r="E9" s="14">
        <v>12.5</v>
      </c>
      <c r="F9" s="15" t="s">
        <v>59</v>
      </c>
      <c r="G9" s="16">
        <v>2</v>
      </c>
    </row>
    <row r="10" spans="1:8" x14ac:dyDescent="0.25">
      <c r="A10" s="17" t="s">
        <v>9</v>
      </c>
      <c r="B10" s="17" t="s">
        <v>58</v>
      </c>
      <c r="C10" s="17" t="s">
        <v>1</v>
      </c>
      <c r="D10" s="13">
        <v>128.80000000000001</v>
      </c>
      <c r="E10" s="14">
        <v>17.5</v>
      </c>
      <c r="F10" s="15" t="s">
        <v>63</v>
      </c>
      <c r="G10" s="16">
        <v>3</v>
      </c>
    </row>
    <row r="11" spans="1:8" x14ac:dyDescent="0.25">
      <c r="A11" s="17" t="s">
        <v>7</v>
      </c>
      <c r="B11" s="18" t="s">
        <v>58</v>
      </c>
      <c r="C11" s="18" t="s">
        <v>68</v>
      </c>
      <c r="D11" s="13">
        <v>119.6</v>
      </c>
      <c r="E11" s="14">
        <v>16.5</v>
      </c>
      <c r="F11" s="15" t="s">
        <v>63</v>
      </c>
      <c r="G11" s="16">
        <v>4</v>
      </c>
    </row>
    <row r="12" spans="1:8" x14ac:dyDescent="0.25">
      <c r="A12" s="17" t="s">
        <v>85</v>
      </c>
      <c r="B12" s="17" t="s">
        <v>64</v>
      </c>
      <c r="C12" s="17" t="s">
        <v>2</v>
      </c>
      <c r="D12" s="13">
        <v>165.6</v>
      </c>
      <c r="E12" s="14">
        <v>11</v>
      </c>
      <c r="F12" s="15" t="s">
        <v>59</v>
      </c>
      <c r="G12" s="16">
        <v>5</v>
      </c>
    </row>
    <row r="13" spans="1:8" x14ac:dyDescent="0.25">
      <c r="A13" s="17" t="s">
        <v>100</v>
      </c>
      <c r="B13" s="17" t="s">
        <v>62</v>
      </c>
      <c r="C13" s="17" t="s">
        <v>1</v>
      </c>
      <c r="D13" s="13">
        <v>128.80000000000001</v>
      </c>
      <c r="E13" s="14">
        <v>15.5</v>
      </c>
      <c r="F13" s="15" t="s">
        <v>63</v>
      </c>
      <c r="G13" s="16">
        <v>6</v>
      </c>
    </row>
    <row r="14" spans="1:8" x14ac:dyDescent="0.25">
      <c r="A14" s="17" t="s">
        <v>28</v>
      </c>
      <c r="B14" s="17" t="s">
        <v>58</v>
      </c>
      <c r="C14" s="17" t="s">
        <v>2</v>
      </c>
      <c r="D14" s="13">
        <v>165.6</v>
      </c>
      <c r="E14" s="14">
        <v>20</v>
      </c>
      <c r="F14" s="15" t="s">
        <v>63</v>
      </c>
      <c r="G14" s="16">
        <v>7</v>
      </c>
    </row>
    <row r="15" spans="1:8" x14ac:dyDescent="0.25">
      <c r="A15" s="17" t="s">
        <v>127</v>
      </c>
      <c r="B15" s="17" t="s">
        <v>71</v>
      </c>
      <c r="C15" s="17" t="s">
        <v>2</v>
      </c>
      <c r="D15" s="13">
        <v>153</v>
      </c>
      <c r="E15" s="14">
        <v>12</v>
      </c>
      <c r="F15" s="15" t="s">
        <v>59</v>
      </c>
      <c r="G15" s="16">
        <v>8</v>
      </c>
    </row>
    <row r="16" spans="1:8" x14ac:dyDescent="0.25">
      <c r="A16" s="17" t="s">
        <v>6</v>
      </c>
      <c r="B16" s="17" t="s">
        <v>62</v>
      </c>
      <c r="C16" s="17" t="s">
        <v>0</v>
      </c>
      <c r="D16" s="13">
        <v>128.80000000000001</v>
      </c>
      <c r="E16" s="14">
        <v>11</v>
      </c>
      <c r="F16" s="15" t="s">
        <v>59</v>
      </c>
      <c r="G16" s="16">
        <v>9</v>
      </c>
    </row>
    <row r="17" spans="1:7" x14ac:dyDescent="0.25">
      <c r="A17" s="17" t="s">
        <v>84</v>
      </c>
      <c r="B17" s="17" t="s">
        <v>64</v>
      </c>
      <c r="C17" s="17" t="s">
        <v>13</v>
      </c>
      <c r="D17" s="13">
        <v>110.4</v>
      </c>
      <c r="E17" s="14">
        <v>12</v>
      </c>
      <c r="F17" s="15" t="s">
        <v>59</v>
      </c>
      <c r="G17" s="16">
        <v>10</v>
      </c>
    </row>
    <row r="18" spans="1:7" x14ac:dyDescent="0.25">
      <c r="A18" s="17" t="s">
        <v>41</v>
      </c>
      <c r="B18" s="17" t="s">
        <v>69</v>
      </c>
      <c r="C18" s="17" t="s">
        <v>2</v>
      </c>
      <c r="D18" s="13">
        <v>165.6</v>
      </c>
      <c r="E18" s="14">
        <v>17</v>
      </c>
      <c r="F18" s="15" t="s">
        <v>63</v>
      </c>
      <c r="G18" s="16">
        <v>11</v>
      </c>
    </row>
    <row r="19" spans="1:7" x14ac:dyDescent="0.25">
      <c r="A19" s="17" t="s">
        <v>74</v>
      </c>
      <c r="B19" s="17" t="s">
        <v>58</v>
      </c>
      <c r="C19" s="17" t="s">
        <v>1</v>
      </c>
      <c r="D19" s="13">
        <v>128.80000000000001</v>
      </c>
      <c r="E19" s="14">
        <v>14</v>
      </c>
      <c r="F19" s="15" t="s">
        <v>63</v>
      </c>
      <c r="G19" s="16">
        <v>12</v>
      </c>
    </row>
    <row r="20" spans="1:7" x14ac:dyDescent="0.25">
      <c r="A20" s="17" t="s">
        <v>86</v>
      </c>
      <c r="B20" s="17" t="s">
        <v>64</v>
      </c>
      <c r="C20" s="17" t="s">
        <v>1</v>
      </c>
      <c r="D20" s="13">
        <v>128.80000000000001</v>
      </c>
      <c r="E20" s="14">
        <v>15.5</v>
      </c>
      <c r="F20" s="15" t="s">
        <v>63</v>
      </c>
      <c r="G20" s="16">
        <v>13</v>
      </c>
    </row>
    <row r="21" spans="1:7" x14ac:dyDescent="0.25">
      <c r="A21" s="17" t="s">
        <v>37</v>
      </c>
      <c r="B21" s="17" t="s">
        <v>69</v>
      </c>
      <c r="C21" s="17" t="s">
        <v>68</v>
      </c>
      <c r="D21" s="13">
        <v>119.6</v>
      </c>
      <c r="E21" s="14">
        <v>17.5</v>
      </c>
      <c r="F21" s="15" t="s">
        <v>63</v>
      </c>
      <c r="G21" s="16">
        <v>14</v>
      </c>
    </row>
    <row r="22" spans="1:7" x14ac:dyDescent="0.25">
      <c r="A22" s="17" t="s">
        <v>133</v>
      </c>
      <c r="B22" s="17" t="s">
        <v>71</v>
      </c>
      <c r="C22" s="17" t="s">
        <v>68</v>
      </c>
      <c r="D22" s="13">
        <v>110.5</v>
      </c>
      <c r="E22" s="14">
        <v>9</v>
      </c>
      <c r="F22" s="15" t="s">
        <v>59</v>
      </c>
      <c r="G22" s="16">
        <v>15</v>
      </c>
    </row>
    <row r="23" spans="1:7" x14ac:dyDescent="0.25">
      <c r="A23" s="17" t="s">
        <v>89</v>
      </c>
      <c r="B23" s="17" t="s">
        <v>64</v>
      </c>
      <c r="C23" s="17" t="s">
        <v>2</v>
      </c>
      <c r="D23" s="13">
        <v>165.6</v>
      </c>
      <c r="E23" s="14">
        <v>13.5</v>
      </c>
      <c r="F23" s="15" t="s">
        <v>59</v>
      </c>
      <c r="G23" s="16">
        <v>16</v>
      </c>
    </row>
    <row r="24" spans="1:7" x14ac:dyDescent="0.25">
      <c r="A24" s="17" t="s">
        <v>5</v>
      </c>
      <c r="B24" s="17" t="s">
        <v>71</v>
      </c>
      <c r="C24" s="17" t="s">
        <v>13</v>
      </c>
      <c r="D24" s="13">
        <v>102</v>
      </c>
      <c r="E24" s="14">
        <v>12</v>
      </c>
      <c r="F24" s="15" t="s">
        <v>59</v>
      </c>
      <c r="G24" s="16">
        <v>17</v>
      </c>
    </row>
    <row r="25" spans="1:7" x14ac:dyDescent="0.25">
      <c r="A25" s="17" t="s">
        <v>103</v>
      </c>
      <c r="B25" s="17" t="s">
        <v>71</v>
      </c>
      <c r="C25" s="17" t="s">
        <v>68</v>
      </c>
      <c r="D25" s="13">
        <v>110.5</v>
      </c>
      <c r="E25" s="14">
        <v>9.5</v>
      </c>
      <c r="F25" s="15" t="s">
        <v>59</v>
      </c>
      <c r="G25" s="16">
        <v>18</v>
      </c>
    </row>
    <row r="26" spans="1:7" x14ac:dyDescent="0.25">
      <c r="A26" s="17" t="s">
        <v>31</v>
      </c>
      <c r="B26" s="17" t="s">
        <v>58</v>
      </c>
      <c r="C26" s="17" t="s">
        <v>13</v>
      </c>
      <c r="D26" s="13">
        <v>110.4</v>
      </c>
      <c r="E26" s="14">
        <v>19</v>
      </c>
      <c r="F26" s="15" t="s">
        <v>63</v>
      </c>
      <c r="G26" s="16">
        <v>19</v>
      </c>
    </row>
    <row r="27" spans="1:7" x14ac:dyDescent="0.25">
      <c r="A27" s="17" t="s">
        <v>95</v>
      </c>
      <c r="B27" s="17" t="s">
        <v>58</v>
      </c>
      <c r="C27" s="17" t="s">
        <v>0</v>
      </c>
      <c r="D27" s="13">
        <v>128.80000000000001</v>
      </c>
      <c r="E27" s="14">
        <v>13.5</v>
      </c>
      <c r="F27" s="15" t="s">
        <v>59</v>
      </c>
      <c r="G27" s="16">
        <v>20</v>
      </c>
    </row>
    <row r="28" spans="1:7" x14ac:dyDescent="0.25">
      <c r="A28" s="17" t="s">
        <v>97</v>
      </c>
      <c r="B28" s="17" t="s">
        <v>62</v>
      </c>
      <c r="C28" s="17" t="s">
        <v>1</v>
      </c>
      <c r="D28" s="13">
        <v>128.80000000000001</v>
      </c>
      <c r="E28" s="14">
        <v>13.5</v>
      </c>
      <c r="F28" s="15" t="s">
        <v>59</v>
      </c>
      <c r="G28" s="16">
        <v>21</v>
      </c>
    </row>
    <row r="29" spans="1:7" x14ac:dyDescent="0.25">
      <c r="A29" s="17" t="s">
        <v>93</v>
      </c>
      <c r="B29" s="17" t="s">
        <v>71</v>
      </c>
      <c r="C29" s="17" t="s">
        <v>13</v>
      </c>
      <c r="D29" s="13">
        <v>102</v>
      </c>
      <c r="E29" s="14">
        <v>14.5</v>
      </c>
      <c r="F29" s="15" t="s">
        <v>63</v>
      </c>
      <c r="G29" s="16">
        <v>22</v>
      </c>
    </row>
    <row r="30" spans="1:7" x14ac:dyDescent="0.25">
      <c r="A30" s="17" t="s">
        <v>120</v>
      </c>
      <c r="B30" s="17" t="s">
        <v>64</v>
      </c>
      <c r="C30" s="17" t="s">
        <v>1</v>
      </c>
      <c r="D30" s="13">
        <v>128.80000000000001</v>
      </c>
      <c r="E30" s="14">
        <v>14</v>
      </c>
      <c r="F30" s="15" t="s">
        <v>63</v>
      </c>
      <c r="G30" s="16">
        <v>23</v>
      </c>
    </row>
    <row r="31" spans="1:7" x14ac:dyDescent="0.25">
      <c r="A31" s="17" t="s">
        <v>105</v>
      </c>
      <c r="B31" s="17" t="s">
        <v>62</v>
      </c>
      <c r="C31" s="17" t="s">
        <v>1</v>
      </c>
      <c r="D31" s="13">
        <v>128.80000000000001</v>
      </c>
      <c r="E31" s="14">
        <v>15</v>
      </c>
      <c r="F31" s="15" t="s">
        <v>63</v>
      </c>
      <c r="G31" s="16">
        <v>24</v>
      </c>
    </row>
    <row r="32" spans="1:7" x14ac:dyDescent="0.25">
      <c r="A32" s="17" t="s">
        <v>49</v>
      </c>
      <c r="B32" s="17" t="s">
        <v>58</v>
      </c>
      <c r="C32" s="17" t="s">
        <v>2</v>
      </c>
      <c r="D32" s="13">
        <v>165.6</v>
      </c>
      <c r="E32" s="14">
        <v>16.5</v>
      </c>
      <c r="F32" s="15" t="s">
        <v>63</v>
      </c>
      <c r="G32" s="16">
        <v>25</v>
      </c>
    </row>
    <row r="33" spans="1:7" x14ac:dyDescent="0.25">
      <c r="A33" s="17" t="s">
        <v>42</v>
      </c>
      <c r="B33" s="17" t="s">
        <v>71</v>
      </c>
      <c r="C33" s="17" t="s">
        <v>68</v>
      </c>
      <c r="D33" s="13">
        <v>110.5</v>
      </c>
      <c r="E33" s="14">
        <v>17</v>
      </c>
      <c r="F33" s="15" t="s">
        <v>63</v>
      </c>
      <c r="G33" s="16">
        <v>26</v>
      </c>
    </row>
    <row r="34" spans="1:7" x14ac:dyDescent="0.25">
      <c r="A34" s="17" t="s">
        <v>83</v>
      </c>
      <c r="B34" s="17" t="s">
        <v>69</v>
      </c>
      <c r="C34" s="17" t="s">
        <v>0</v>
      </c>
      <c r="D34" s="13">
        <v>128.80000000000001</v>
      </c>
      <c r="E34" s="14">
        <v>10.5</v>
      </c>
      <c r="F34" s="15" t="s">
        <v>59</v>
      </c>
      <c r="G34" s="16">
        <v>27</v>
      </c>
    </row>
    <row r="35" spans="1:7" x14ac:dyDescent="0.25">
      <c r="A35" s="17" t="s">
        <v>101</v>
      </c>
      <c r="B35" s="17" t="s">
        <v>64</v>
      </c>
      <c r="C35" s="17" t="s">
        <v>0</v>
      </c>
      <c r="D35" s="13">
        <v>128.80000000000001</v>
      </c>
      <c r="E35" s="14">
        <v>12.5</v>
      </c>
      <c r="F35" s="15" t="s">
        <v>59</v>
      </c>
      <c r="G35" s="16">
        <v>28</v>
      </c>
    </row>
    <row r="36" spans="1:7" x14ac:dyDescent="0.25">
      <c r="A36" s="17" t="s">
        <v>104</v>
      </c>
      <c r="B36" s="17" t="s">
        <v>71</v>
      </c>
      <c r="C36" s="17" t="s">
        <v>2</v>
      </c>
      <c r="D36" s="13">
        <v>153</v>
      </c>
      <c r="E36" s="14">
        <v>16</v>
      </c>
      <c r="F36" s="15" t="s">
        <v>63</v>
      </c>
      <c r="G36" s="16">
        <v>29</v>
      </c>
    </row>
    <row r="37" spans="1:7" x14ac:dyDescent="0.25">
      <c r="A37" s="17" t="s">
        <v>123</v>
      </c>
      <c r="B37" s="17" t="s">
        <v>62</v>
      </c>
      <c r="C37" s="17" t="s">
        <v>68</v>
      </c>
      <c r="D37" s="13">
        <v>119.6</v>
      </c>
      <c r="E37" s="14">
        <v>14.5</v>
      </c>
      <c r="F37" s="15" t="s">
        <v>63</v>
      </c>
      <c r="G37" s="16">
        <v>30</v>
      </c>
    </row>
    <row r="38" spans="1:7" x14ac:dyDescent="0.25">
      <c r="A38" s="17" t="s">
        <v>130</v>
      </c>
      <c r="B38" s="17" t="s">
        <v>71</v>
      </c>
      <c r="C38" s="17" t="s">
        <v>0</v>
      </c>
      <c r="D38" s="13">
        <v>119</v>
      </c>
      <c r="E38" s="14">
        <v>14</v>
      </c>
      <c r="F38" s="15" t="s">
        <v>63</v>
      </c>
      <c r="G38" s="16">
        <v>31</v>
      </c>
    </row>
    <row r="39" spans="1:7" x14ac:dyDescent="0.25">
      <c r="A39" s="17" t="s">
        <v>110</v>
      </c>
      <c r="B39" s="17" t="s">
        <v>58</v>
      </c>
      <c r="C39" s="17" t="s">
        <v>13</v>
      </c>
      <c r="D39" s="13">
        <v>110.4</v>
      </c>
      <c r="E39" s="14">
        <v>11</v>
      </c>
      <c r="F39" s="15" t="s">
        <v>59</v>
      </c>
      <c r="G39" s="16">
        <v>32</v>
      </c>
    </row>
    <row r="40" spans="1:7" x14ac:dyDescent="0.25">
      <c r="A40" s="17" t="s">
        <v>77</v>
      </c>
      <c r="B40" s="17" t="s">
        <v>71</v>
      </c>
      <c r="C40" s="17" t="s">
        <v>1</v>
      </c>
      <c r="D40" s="13">
        <v>119</v>
      </c>
      <c r="E40" s="14">
        <v>14</v>
      </c>
      <c r="F40" s="15" t="s">
        <v>63</v>
      </c>
      <c r="G40" s="16">
        <v>33</v>
      </c>
    </row>
    <row r="41" spans="1:7" x14ac:dyDescent="0.25">
      <c r="A41" s="17" t="s">
        <v>38</v>
      </c>
      <c r="B41" s="17" t="s">
        <v>64</v>
      </c>
      <c r="C41" s="17" t="s">
        <v>2</v>
      </c>
      <c r="D41" s="13">
        <v>165.6</v>
      </c>
      <c r="E41" s="14">
        <v>17.5</v>
      </c>
      <c r="F41" s="15" t="s">
        <v>63</v>
      </c>
      <c r="G41" s="16">
        <v>34</v>
      </c>
    </row>
    <row r="42" spans="1:7" x14ac:dyDescent="0.25">
      <c r="A42" s="17" t="s">
        <v>43</v>
      </c>
      <c r="B42" s="17" t="s">
        <v>64</v>
      </c>
      <c r="C42" s="17" t="s">
        <v>13</v>
      </c>
      <c r="D42" s="13">
        <v>110.4</v>
      </c>
      <c r="E42" s="14">
        <v>17</v>
      </c>
      <c r="F42" s="15" t="s">
        <v>63</v>
      </c>
      <c r="G42" s="16">
        <v>35</v>
      </c>
    </row>
    <row r="43" spans="1:7" x14ac:dyDescent="0.25">
      <c r="A43" s="17" t="s">
        <v>128</v>
      </c>
      <c r="B43" s="17" t="s">
        <v>69</v>
      </c>
      <c r="C43" s="17" t="s">
        <v>1</v>
      </c>
      <c r="D43" s="13">
        <v>128.80000000000001</v>
      </c>
      <c r="E43" s="14">
        <v>13</v>
      </c>
      <c r="F43" s="15" t="s">
        <v>59</v>
      </c>
      <c r="G43" s="16">
        <v>36</v>
      </c>
    </row>
    <row r="44" spans="1:7" x14ac:dyDescent="0.25">
      <c r="A44" s="17" t="s">
        <v>81</v>
      </c>
      <c r="B44" s="17" t="s">
        <v>58</v>
      </c>
      <c r="C44" s="17" t="s">
        <v>0</v>
      </c>
      <c r="D44" s="13">
        <v>128.80000000000001</v>
      </c>
      <c r="E44" s="14">
        <v>13</v>
      </c>
      <c r="F44" s="15" t="s">
        <v>59</v>
      </c>
      <c r="G44" s="16">
        <v>37</v>
      </c>
    </row>
    <row r="45" spans="1:7" x14ac:dyDescent="0.25">
      <c r="A45" s="17" t="s">
        <v>82</v>
      </c>
      <c r="B45" s="17" t="s">
        <v>64</v>
      </c>
      <c r="C45" s="17" t="s">
        <v>13</v>
      </c>
      <c r="D45" s="13">
        <v>110.4</v>
      </c>
      <c r="E45" s="14">
        <v>16</v>
      </c>
      <c r="F45" s="15" t="s">
        <v>63</v>
      </c>
      <c r="G45" s="16">
        <v>38</v>
      </c>
    </row>
    <row r="46" spans="1:7" x14ac:dyDescent="0.25">
      <c r="A46" s="17" t="s">
        <v>39</v>
      </c>
      <c r="B46" s="17" t="s">
        <v>58</v>
      </c>
      <c r="C46" s="17" t="s">
        <v>68</v>
      </c>
      <c r="D46" s="13">
        <v>119.6</v>
      </c>
      <c r="E46" s="14">
        <v>17.5</v>
      </c>
      <c r="F46" s="15" t="s">
        <v>63</v>
      </c>
      <c r="G46" s="16">
        <v>39</v>
      </c>
    </row>
    <row r="47" spans="1:7" x14ac:dyDescent="0.25">
      <c r="A47" s="17" t="s">
        <v>107</v>
      </c>
      <c r="B47" s="17" t="s">
        <v>58</v>
      </c>
      <c r="C47" s="17" t="s">
        <v>13</v>
      </c>
      <c r="D47" s="13">
        <v>110.4</v>
      </c>
      <c r="E47" s="14">
        <v>11</v>
      </c>
      <c r="F47" s="15" t="s">
        <v>59</v>
      </c>
      <c r="G47" s="16">
        <v>40</v>
      </c>
    </row>
    <row r="48" spans="1:7" x14ac:dyDescent="0.25">
      <c r="A48" s="17" t="s">
        <v>44</v>
      </c>
      <c r="B48" s="17" t="s">
        <v>71</v>
      </c>
      <c r="C48" s="17" t="s">
        <v>68</v>
      </c>
      <c r="D48" s="13">
        <v>110.5</v>
      </c>
      <c r="E48" s="14">
        <v>17</v>
      </c>
      <c r="F48" s="15" t="s">
        <v>63</v>
      </c>
      <c r="G48" s="16">
        <v>41</v>
      </c>
    </row>
    <row r="49" spans="1:7" x14ac:dyDescent="0.25">
      <c r="A49" s="17" t="s">
        <v>29</v>
      </c>
      <c r="B49" s="17" t="s">
        <v>58</v>
      </c>
      <c r="C49" s="17" t="s">
        <v>1</v>
      </c>
      <c r="D49" s="13">
        <v>128.80000000000001</v>
      </c>
      <c r="E49" s="14">
        <v>19.5</v>
      </c>
      <c r="F49" s="15" t="s">
        <v>63</v>
      </c>
      <c r="G49" s="16">
        <v>42</v>
      </c>
    </row>
    <row r="50" spans="1:7" x14ac:dyDescent="0.25">
      <c r="A50" s="17" t="s">
        <v>80</v>
      </c>
      <c r="B50" s="17" t="s">
        <v>64</v>
      </c>
      <c r="C50" s="17" t="s">
        <v>13</v>
      </c>
      <c r="D50" s="13">
        <v>110.4</v>
      </c>
      <c r="E50" s="14">
        <v>11.5</v>
      </c>
      <c r="F50" s="15" t="s">
        <v>59</v>
      </c>
      <c r="G50" s="16">
        <v>43</v>
      </c>
    </row>
    <row r="51" spans="1:7" x14ac:dyDescent="0.25">
      <c r="A51" s="17" t="s">
        <v>94</v>
      </c>
      <c r="B51" s="17" t="s">
        <v>62</v>
      </c>
      <c r="C51" s="17" t="s">
        <v>68</v>
      </c>
      <c r="D51" s="13">
        <v>119.6</v>
      </c>
      <c r="E51" s="14">
        <v>8</v>
      </c>
      <c r="F51" s="15" t="s">
        <v>59</v>
      </c>
      <c r="G51" s="16">
        <v>44</v>
      </c>
    </row>
    <row r="52" spans="1:7" x14ac:dyDescent="0.25">
      <c r="A52" s="17" t="s">
        <v>73</v>
      </c>
      <c r="B52" s="17" t="s">
        <v>64</v>
      </c>
      <c r="C52" s="17" t="s">
        <v>0</v>
      </c>
      <c r="D52" s="13">
        <v>128.80000000000001</v>
      </c>
      <c r="E52" s="14">
        <v>13</v>
      </c>
      <c r="F52" s="15" t="s">
        <v>59</v>
      </c>
      <c r="G52" s="16">
        <v>45</v>
      </c>
    </row>
    <row r="53" spans="1:7" x14ac:dyDescent="0.25">
      <c r="A53" s="17" t="s">
        <v>99</v>
      </c>
      <c r="B53" s="17" t="s">
        <v>71</v>
      </c>
      <c r="C53" s="17" t="s">
        <v>2</v>
      </c>
      <c r="D53" s="13">
        <v>153</v>
      </c>
      <c r="E53" s="14">
        <v>15.5</v>
      </c>
      <c r="F53" s="15" t="s">
        <v>63</v>
      </c>
      <c r="G53" s="16">
        <v>46</v>
      </c>
    </row>
    <row r="54" spans="1:7" x14ac:dyDescent="0.25">
      <c r="A54" s="17" t="s">
        <v>40</v>
      </c>
      <c r="B54" s="17" t="s">
        <v>64</v>
      </c>
      <c r="C54" s="17" t="s">
        <v>0</v>
      </c>
      <c r="D54" s="13">
        <v>128.80000000000001</v>
      </c>
      <c r="E54" s="14">
        <v>17.5</v>
      </c>
      <c r="F54" s="15" t="s">
        <v>63</v>
      </c>
      <c r="G54" s="16">
        <v>47</v>
      </c>
    </row>
    <row r="55" spans="1:7" x14ac:dyDescent="0.25">
      <c r="A55" s="17" t="s">
        <v>34</v>
      </c>
      <c r="B55" s="17" t="s">
        <v>62</v>
      </c>
      <c r="C55" s="17" t="s">
        <v>13</v>
      </c>
      <c r="D55" s="13">
        <v>110.4</v>
      </c>
      <c r="E55" s="14">
        <v>18.5</v>
      </c>
      <c r="F55" s="15" t="s">
        <v>63</v>
      </c>
      <c r="G55" s="16">
        <v>48</v>
      </c>
    </row>
    <row r="56" spans="1:7" x14ac:dyDescent="0.25">
      <c r="A56" s="17" t="s">
        <v>102</v>
      </c>
      <c r="B56" s="17" t="s">
        <v>71</v>
      </c>
      <c r="C56" s="17" t="s">
        <v>0</v>
      </c>
      <c r="D56" s="13">
        <v>119</v>
      </c>
      <c r="E56" s="14">
        <v>15</v>
      </c>
      <c r="F56" s="15" t="s">
        <v>63</v>
      </c>
      <c r="G56" s="16">
        <v>49</v>
      </c>
    </row>
    <row r="57" spans="1:7" x14ac:dyDescent="0.25">
      <c r="A57" s="17" t="s">
        <v>131</v>
      </c>
      <c r="B57" s="17" t="s">
        <v>62</v>
      </c>
      <c r="C57" s="17" t="s">
        <v>13</v>
      </c>
      <c r="D57" s="13">
        <v>110.4</v>
      </c>
      <c r="E57" s="14">
        <v>10.5</v>
      </c>
      <c r="F57" s="15" t="s">
        <v>59</v>
      </c>
      <c r="G57" s="16">
        <v>50</v>
      </c>
    </row>
    <row r="58" spans="1:7" x14ac:dyDescent="0.25">
      <c r="A58" s="17" t="s">
        <v>78</v>
      </c>
      <c r="B58" s="17" t="s">
        <v>64</v>
      </c>
      <c r="C58" s="17" t="s">
        <v>2</v>
      </c>
      <c r="D58" s="13">
        <v>165.6</v>
      </c>
      <c r="E58" s="14">
        <v>16</v>
      </c>
      <c r="F58" s="15" t="s">
        <v>63</v>
      </c>
      <c r="G58" s="16">
        <v>51</v>
      </c>
    </row>
    <row r="59" spans="1:7" x14ac:dyDescent="0.25">
      <c r="A59" s="17" t="s">
        <v>36</v>
      </c>
      <c r="B59" s="17" t="s">
        <v>71</v>
      </c>
      <c r="C59" s="17" t="s">
        <v>0</v>
      </c>
      <c r="D59" s="13">
        <v>119</v>
      </c>
      <c r="E59" s="14">
        <v>18</v>
      </c>
      <c r="F59" s="15" t="s">
        <v>63</v>
      </c>
      <c r="G59" s="16">
        <v>52</v>
      </c>
    </row>
    <row r="60" spans="1:7" x14ac:dyDescent="0.25">
      <c r="A60" s="17" t="s">
        <v>67</v>
      </c>
      <c r="B60" s="17" t="s">
        <v>62</v>
      </c>
      <c r="C60" s="17" t="s">
        <v>68</v>
      </c>
      <c r="D60" s="13">
        <v>119.6</v>
      </c>
      <c r="E60" s="14">
        <v>15</v>
      </c>
      <c r="F60" s="15" t="s">
        <v>63</v>
      </c>
      <c r="G60" s="16">
        <v>53</v>
      </c>
    </row>
    <row r="61" spans="1:7" x14ac:dyDescent="0.25">
      <c r="A61" s="17" t="s">
        <v>106</v>
      </c>
      <c r="B61" s="17" t="s">
        <v>62</v>
      </c>
      <c r="C61" s="17" t="s">
        <v>68</v>
      </c>
      <c r="D61" s="13">
        <v>119.6</v>
      </c>
      <c r="E61" s="14">
        <v>14</v>
      </c>
      <c r="F61" s="15" t="s">
        <v>63</v>
      </c>
      <c r="G61" s="16">
        <v>54</v>
      </c>
    </row>
    <row r="62" spans="1:7" x14ac:dyDescent="0.25">
      <c r="A62" s="17" t="s">
        <v>114</v>
      </c>
      <c r="B62" s="17" t="s">
        <v>58</v>
      </c>
      <c r="C62" s="17" t="s">
        <v>68</v>
      </c>
      <c r="D62" s="13">
        <v>119.6</v>
      </c>
      <c r="E62" s="14">
        <v>11</v>
      </c>
      <c r="F62" s="15" t="s">
        <v>59</v>
      </c>
      <c r="G62" s="16">
        <v>55</v>
      </c>
    </row>
    <row r="63" spans="1:7" x14ac:dyDescent="0.25">
      <c r="A63" s="17" t="s">
        <v>79</v>
      </c>
      <c r="B63" s="17" t="s">
        <v>64</v>
      </c>
      <c r="C63" s="17" t="s">
        <v>68</v>
      </c>
      <c r="D63" s="13">
        <v>119.6</v>
      </c>
      <c r="E63" s="14">
        <v>16</v>
      </c>
      <c r="F63" s="15" t="s">
        <v>63</v>
      </c>
      <c r="G63" s="16">
        <v>56</v>
      </c>
    </row>
    <row r="64" spans="1:7" x14ac:dyDescent="0.25">
      <c r="A64" s="17" t="s">
        <v>117</v>
      </c>
      <c r="B64" s="17" t="s">
        <v>64</v>
      </c>
      <c r="C64" s="17" t="s">
        <v>68</v>
      </c>
      <c r="D64" s="13">
        <v>119.6</v>
      </c>
      <c r="E64" s="14">
        <v>14.5</v>
      </c>
      <c r="F64" s="15" t="s">
        <v>63</v>
      </c>
      <c r="G64" s="16">
        <v>57</v>
      </c>
    </row>
    <row r="65" spans="1:7" x14ac:dyDescent="0.25">
      <c r="A65" s="17" t="s">
        <v>10</v>
      </c>
      <c r="B65" s="17" t="s">
        <v>64</v>
      </c>
      <c r="C65" s="17" t="s">
        <v>2</v>
      </c>
      <c r="D65" s="13">
        <v>165.6</v>
      </c>
      <c r="E65" s="14">
        <v>13.5</v>
      </c>
      <c r="F65" s="15" t="s">
        <v>59</v>
      </c>
      <c r="G65" s="16">
        <v>58</v>
      </c>
    </row>
    <row r="66" spans="1:7" x14ac:dyDescent="0.25">
      <c r="A66" s="17" t="s">
        <v>96</v>
      </c>
      <c r="B66" s="17" t="s">
        <v>71</v>
      </c>
      <c r="C66" s="17" t="s">
        <v>68</v>
      </c>
      <c r="D66" s="13">
        <v>110.5</v>
      </c>
      <c r="E66" s="14">
        <v>14</v>
      </c>
      <c r="F66" s="15" t="s">
        <v>63</v>
      </c>
      <c r="G66" s="16">
        <v>59</v>
      </c>
    </row>
    <row r="67" spans="1:7" x14ac:dyDescent="0.25">
      <c r="A67" s="17" t="s">
        <v>118</v>
      </c>
      <c r="B67" s="17" t="s">
        <v>71</v>
      </c>
      <c r="C67" s="17" t="s">
        <v>0</v>
      </c>
      <c r="D67" s="13">
        <v>119</v>
      </c>
      <c r="E67" s="14">
        <v>16</v>
      </c>
      <c r="F67" s="15" t="s">
        <v>63</v>
      </c>
      <c r="G67" s="16">
        <v>60</v>
      </c>
    </row>
    <row r="68" spans="1:7" x14ac:dyDescent="0.25">
      <c r="A68" s="17" t="s">
        <v>109</v>
      </c>
      <c r="B68" s="17" t="s">
        <v>69</v>
      </c>
      <c r="C68" s="17" t="s">
        <v>13</v>
      </c>
      <c r="D68" s="13">
        <v>110.4</v>
      </c>
      <c r="E68" s="14">
        <v>13.5</v>
      </c>
      <c r="F68" s="15" t="s">
        <v>59</v>
      </c>
      <c r="G68" s="16">
        <v>61</v>
      </c>
    </row>
    <row r="69" spans="1:7" x14ac:dyDescent="0.25">
      <c r="A69" s="17" t="s">
        <v>50</v>
      </c>
      <c r="B69" s="17" t="s">
        <v>58</v>
      </c>
      <c r="C69" s="17" t="s">
        <v>1</v>
      </c>
      <c r="D69" s="13">
        <v>128.80000000000001</v>
      </c>
      <c r="E69" s="14">
        <v>16.5</v>
      </c>
      <c r="F69" s="15" t="s">
        <v>63</v>
      </c>
      <c r="G69" s="16">
        <v>62</v>
      </c>
    </row>
    <row r="70" spans="1:7" x14ac:dyDescent="0.25">
      <c r="A70" s="17" t="s">
        <v>45</v>
      </c>
      <c r="B70" s="17" t="s">
        <v>62</v>
      </c>
      <c r="C70" s="17" t="s">
        <v>68</v>
      </c>
      <c r="D70" s="13">
        <v>119.6</v>
      </c>
      <c r="E70" s="14">
        <v>17</v>
      </c>
      <c r="F70" s="15" t="s">
        <v>63</v>
      </c>
      <c r="G70" s="16">
        <v>63</v>
      </c>
    </row>
    <row r="71" spans="1:7" x14ac:dyDescent="0.25">
      <c r="A71" s="17" t="s">
        <v>76</v>
      </c>
      <c r="B71" s="17" t="s">
        <v>69</v>
      </c>
      <c r="C71" s="17" t="s">
        <v>0</v>
      </c>
      <c r="D71" s="13">
        <v>128.80000000000001</v>
      </c>
      <c r="E71" s="14">
        <v>12.5</v>
      </c>
      <c r="F71" s="15" t="s">
        <v>59</v>
      </c>
      <c r="G71" s="16">
        <v>64</v>
      </c>
    </row>
    <row r="72" spans="1:7" x14ac:dyDescent="0.25">
      <c r="A72" s="17" t="s">
        <v>91</v>
      </c>
      <c r="B72" s="17" t="s">
        <v>71</v>
      </c>
      <c r="C72" s="17" t="s">
        <v>13</v>
      </c>
      <c r="D72" s="13">
        <v>102</v>
      </c>
      <c r="E72" s="14">
        <v>14.5</v>
      </c>
      <c r="F72" s="15" t="s">
        <v>63</v>
      </c>
      <c r="G72" s="16">
        <v>65</v>
      </c>
    </row>
    <row r="73" spans="1:7" x14ac:dyDescent="0.25">
      <c r="A73" s="17" t="s">
        <v>124</v>
      </c>
      <c r="B73" s="17" t="s">
        <v>62</v>
      </c>
      <c r="C73" s="17" t="s">
        <v>2</v>
      </c>
      <c r="D73" s="13">
        <v>165.6</v>
      </c>
      <c r="E73" s="14">
        <v>15.5</v>
      </c>
      <c r="F73" s="15" t="s">
        <v>63</v>
      </c>
      <c r="G73" s="16">
        <v>66</v>
      </c>
    </row>
    <row r="74" spans="1:7" x14ac:dyDescent="0.25">
      <c r="A74" s="17" t="s">
        <v>32</v>
      </c>
      <c r="B74" s="17" t="s">
        <v>64</v>
      </c>
      <c r="C74" s="17" t="s">
        <v>13</v>
      </c>
      <c r="D74" s="13">
        <v>110.4</v>
      </c>
      <c r="E74" s="14">
        <v>19</v>
      </c>
      <c r="F74" s="15" t="s">
        <v>63</v>
      </c>
      <c r="G74" s="16">
        <v>67</v>
      </c>
    </row>
    <row r="75" spans="1:7" x14ac:dyDescent="0.25">
      <c r="A75" s="17" t="s">
        <v>51</v>
      </c>
      <c r="B75" s="17" t="s">
        <v>62</v>
      </c>
      <c r="C75" s="17" t="s">
        <v>2</v>
      </c>
      <c r="D75" s="13">
        <v>165.6</v>
      </c>
      <c r="E75" s="14">
        <v>16.5</v>
      </c>
      <c r="F75" s="15" t="s">
        <v>63</v>
      </c>
      <c r="G75" s="16">
        <v>68</v>
      </c>
    </row>
    <row r="76" spans="1:7" x14ac:dyDescent="0.25">
      <c r="A76" s="17" t="s">
        <v>125</v>
      </c>
      <c r="B76" s="17" t="s">
        <v>64</v>
      </c>
      <c r="C76" s="17" t="s">
        <v>68</v>
      </c>
      <c r="D76" s="13">
        <v>119.6</v>
      </c>
      <c r="E76" s="14">
        <v>16.5</v>
      </c>
      <c r="F76" s="15" t="s">
        <v>63</v>
      </c>
      <c r="G76" s="16">
        <v>69</v>
      </c>
    </row>
    <row r="77" spans="1:7" x14ac:dyDescent="0.25">
      <c r="A77" s="17" t="s">
        <v>119</v>
      </c>
      <c r="B77" s="17" t="s">
        <v>62</v>
      </c>
      <c r="C77" s="17" t="s">
        <v>1</v>
      </c>
      <c r="D77" s="13">
        <v>128.80000000000001</v>
      </c>
      <c r="E77" s="14">
        <v>16</v>
      </c>
      <c r="F77" s="15" t="s">
        <v>63</v>
      </c>
      <c r="G77" s="16">
        <v>70</v>
      </c>
    </row>
    <row r="78" spans="1:7" x14ac:dyDescent="0.25">
      <c r="A78" s="17" t="s">
        <v>113</v>
      </c>
      <c r="B78" s="17" t="s">
        <v>71</v>
      </c>
      <c r="C78" s="17" t="s">
        <v>1</v>
      </c>
      <c r="D78" s="13">
        <v>119</v>
      </c>
      <c r="E78" s="14">
        <v>12.5</v>
      </c>
      <c r="F78" s="15" t="s">
        <v>59</v>
      </c>
      <c r="G78" s="16">
        <v>71</v>
      </c>
    </row>
    <row r="79" spans="1:7" x14ac:dyDescent="0.25">
      <c r="A79" s="17" t="s">
        <v>108</v>
      </c>
      <c r="B79" s="17" t="s">
        <v>64</v>
      </c>
      <c r="C79" s="17" t="s">
        <v>1</v>
      </c>
      <c r="D79" s="13">
        <v>128.80000000000001</v>
      </c>
      <c r="E79" s="14">
        <v>10</v>
      </c>
      <c r="F79" s="15" t="s">
        <v>59</v>
      </c>
      <c r="G79" s="16">
        <v>72</v>
      </c>
    </row>
    <row r="80" spans="1:7" x14ac:dyDescent="0.25">
      <c r="A80" s="17" t="s">
        <v>46</v>
      </c>
      <c r="B80" s="17" t="s">
        <v>69</v>
      </c>
      <c r="C80" s="17" t="s">
        <v>68</v>
      </c>
      <c r="D80" s="13">
        <v>119.6</v>
      </c>
      <c r="E80" s="14">
        <v>17</v>
      </c>
      <c r="F80" s="15" t="s">
        <v>63</v>
      </c>
      <c r="G80" s="16">
        <v>73</v>
      </c>
    </row>
    <row r="81" spans="1:7" x14ac:dyDescent="0.25">
      <c r="A81" s="17" t="s">
        <v>90</v>
      </c>
      <c r="B81" s="17" t="s">
        <v>71</v>
      </c>
      <c r="C81" s="17" t="s">
        <v>1</v>
      </c>
      <c r="D81" s="13">
        <v>119</v>
      </c>
      <c r="E81" s="14">
        <v>16.5</v>
      </c>
      <c r="F81" s="15" t="s">
        <v>63</v>
      </c>
      <c r="G81" s="16">
        <v>74</v>
      </c>
    </row>
    <row r="82" spans="1:7" x14ac:dyDescent="0.25">
      <c r="A82" s="17" t="s">
        <v>60</v>
      </c>
      <c r="B82" s="17" t="s">
        <v>58</v>
      </c>
      <c r="C82" s="17" t="s">
        <v>2</v>
      </c>
      <c r="D82" s="13">
        <v>165.6</v>
      </c>
      <c r="E82" s="14">
        <v>12.5</v>
      </c>
      <c r="F82" s="15" t="s">
        <v>59</v>
      </c>
      <c r="G82" s="16">
        <v>75</v>
      </c>
    </row>
    <row r="83" spans="1:7" x14ac:dyDescent="0.25">
      <c r="A83" s="17" t="s">
        <v>122</v>
      </c>
      <c r="B83" s="17" t="s">
        <v>62</v>
      </c>
      <c r="C83" s="17" t="s">
        <v>2</v>
      </c>
      <c r="D83" s="13">
        <v>165.6</v>
      </c>
      <c r="E83" s="14">
        <v>13</v>
      </c>
      <c r="F83" s="15" t="s">
        <v>59</v>
      </c>
      <c r="G83" s="16">
        <v>76</v>
      </c>
    </row>
    <row r="84" spans="1:7" x14ac:dyDescent="0.25">
      <c r="A84" s="17" t="s">
        <v>92</v>
      </c>
      <c r="B84" s="17" t="s">
        <v>62</v>
      </c>
      <c r="C84" s="17" t="s">
        <v>2</v>
      </c>
      <c r="D84" s="13">
        <v>165.6</v>
      </c>
      <c r="E84" s="14">
        <v>12</v>
      </c>
      <c r="F84" s="15" t="s">
        <v>59</v>
      </c>
      <c r="G84" s="16">
        <v>77</v>
      </c>
    </row>
    <row r="85" spans="1:7" x14ac:dyDescent="0.25">
      <c r="A85" s="17" t="s">
        <v>8</v>
      </c>
      <c r="B85" s="17" t="s">
        <v>71</v>
      </c>
      <c r="C85" s="17" t="s">
        <v>1</v>
      </c>
      <c r="D85" s="13">
        <v>119</v>
      </c>
      <c r="E85" s="14">
        <v>14</v>
      </c>
      <c r="F85" s="15" t="s">
        <v>63</v>
      </c>
      <c r="G85" s="16">
        <v>78</v>
      </c>
    </row>
    <row r="86" spans="1:7" x14ac:dyDescent="0.25">
      <c r="A86" s="17" t="s">
        <v>75</v>
      </c>
      <c r="B86" s="17" t="s">
        <v>62</v>
      </c>
      <c r="C86" s="17" t="s">
        <v>0</v>
      </c>
      <c r="D86" s="13">
        <v>128.80000000000001</v>
      </c>
      <c r="E86" s="14">
        <v>14</v>
      </c>
      <c r="F86" s="15" t="s">
        <v>63</v>
      </c>
      <c r="G86" s="16">
        <v>79</v>
      </c>
    </row>
    <row r="87" spans="1:7" x14ac:dyDescent="0.25">
      <c r="A87" s="17" t="s">
        <v>47</v>
      </c>
      <c r="B87" s="17" t="s">
        <v>69</v>
      </c>
      <c r="C87" s="17" t="s">
        <v>1</v>
      </c>
      <c r="D87" s="13">
        <v>128.80000000000001</v>
      </c>
      <c r="E87" s="14">
        <v>17</v>
      </c>
      <c r="F87" s="15" t="s">
        <v>63</v>
      </c>
      <c r="G87" s="16">
        <v>80</v>
      </c>
    </row>
    <row r="88" spans="1:7" x14ac:dyDescent="0.25">
      <c r="A88" s="17" t="s">
        <v>30</v>
      </c>
      <c r="B88" s="17" t="s">
        <v>62</v>
      </c>
      <c r="C88" s="17" t="s">
        <v>2</v>
      </c>
      <c r="D88" s="13">
        <v>165.6</v>
      </c>
      <c r="E88" s="14">
        <v>19.5</v>
      </c>
      <c r="F88" s="15" t="s">
        <v>63</v>
      </c>
      <c r="G88" s="16">
        <v>81</v>
      </c>
    </row>
    <row r="89" spans="1:7" x14ac:dyDescent="0.25">
      <c r="A89" s="17" t="s">
        <v>121</v>
      </c>
      <c r="B89" s="17" t="s">
        <v>71</v>
      </c>
      <c r="C89" s="17" t="s">
        <v>13</v>
      </c>
      <c r="D89" s="13">
        <v>102</v>
      </c>
      <c r="E89" s="14">
        <v>13.5</v>
      </c>
      <c r="F89" s="15" t="s">
        <v>59</v>
      </c>
      <c r="G89" s="16">
        <v>82</v>
      </c>
    </row>
    <row r="90" spans="1:7" x14ac:dyDescent="0.25">
      <c r="A90" s="17" t="s">
        <v>57</v>
      </c>
      <c r="B90" s="17" t="s">
        <v>58</v>
      </c>
      <c r="C90" s="17" t="s">
        <v>13</v>
      </c>
      <c r="D90" s="13">
        <v>110.4</v>
      </c>
      <c r="E90" s="14">
        <v>12</v>
      </c>
      <c r="F90" s="15" t="s">
        <v>59</v>
      </c>
      <c r="G90" s="16">
        <v>83</v>
      </c>
    </row>
    <row r="91" spans="1:7" x14ac:dyDescent="0.25">
      <c r="A91" s="17" t="s">
        <v>61</v>
      </c>
      <c r="B91" s="17" t="s">
        <v>62</v>
      </c>
      <c r="C91" s="17" t="s">
        <v>13</v>
      </c>
      <c r="D91" s="13">
        <v>110.4</v>
      </c>
      <c r="E91" s="14">
        <v>10.5</v>
      </c>
      <c r="F91" s="15" t="s">
        <v>59</v>
      </c>
      <c r="G91" s="16">
        <v>84</v>
      </c>
    </row>
    <row r="92" spans="1:7" x14ac:dyDescent="0.25">
      <c r="A92" s="17" t="s">
        <v>98</v>
      </c>
      <c r="B92" s="17" t="s">
        <v>62</v>
      </c>
      <c r="C92" s="17" t="s">
        <v>13</v>
      </c>
      <c r="D92" s="13">
        <v>110.4</v>
      </c>
      <c r="E92" s="14">
        <v>12.5</v>
      </c>
      <c r="F92" s="15" t="s">
        <v>59</v>
      </c>
      <c r="G92" s="16">
        <v>85</v>
      </c>
    </row>
    <row r="93" spans="1:7" x14ac:dyDescent="0.25">
      <c r="A93" s="17" t="s">
        <v>132</v>
      </c>
      <c r="B93" s="17" t="s">
        <v>58</v>
      </c>
      <c r="C93" s="17" t="s">
        <v>0</v>
      </c>
      <c r="D93" s="13">
        <v>128.80000000000001</v>
      </c>
      <c r="E93" s="14">
        <v>14.5</v>
      </c>
      <c r="F93" s="15" t="s">
        <v>63</v>
      </c>
      <c r="G93" s="16">
        <v>86</v>
      </c>
    </row>
    <row r="94" spans="1:7" x14ac:dyDescent="0.25">
      <c r="A94" s="17" t="s">
        <v>116</v>
      </c>
      <c r="B94" s="17" t="s">
        <v>62</v>
      </c>
      <c r="C94" s="17" t="s">
        <v>13</v>
      </c>
      <c r="D94" s="13">
        <v>110.4</v>
      </c>
      <c r="E94" s="14">
        <v>13.5</v>
      </c>
      <c r="F94" s="15" t="s">
        <v>59</v>
      </c>
      <c r="G94" s="16">
        <v>87</v>
      </c>
    </row>
    <row r="95" spans="1:7" x14ac:dyDescent="0.25">
      <c r="A95" s="17" t="s">
        <v>88</v>
      </c>
      <c r="B95" s="17" t="s">
        <v>69</v>
      </c>
      <c r="C95" s="17" t="s">
        <v>2</v>
      </c>
      <c r="D95" s="13">
        <v>165.6</v>
      </c>
      <c r="E95" s="14">
        <v>10</v>
      </c>
      <c r="F95" s="15" t="s">
        <v>59</v>
      </c>
      <c r="G95" s="16">
        <v>88</v>
      </c>
    </row>
    <row r="96" spans="1:7" x14ac:dyDescent="0.25">
      <c r="A96" s="17" t="s">
        <v>70</v>
      </c>
      <c r="B96" s="17" t="s">
        <v>71</v>
      </c>
      <c r="C96" s="17" t="s">
        <v>13</v>
      </c>
      <c r="D96" s="13">
        <v>102</v>
      </c>
      <c r="E96" s="14">
        <v>14.5</v>
      </c>
      <c r="F96" s="15" t="s">
        <v>63</v>
      </c>
      <c r="G96" s="16">
        <v>89</v>
      </c>
    </row>
    <row r="97" spans="1:7" x14ac:dyDescent="0.25">
      <c r="A97" s="17" t="s">
        <v>87</v>
      </c>
      <c r="B97" s="17" t="s">
        <v>62</v>
      </c>
      <c r="C97" s="17" t="s">
        <v>1</v>
      </c>
      <c r="D97" s="13">
        <v>128.80000000000001</v>
      </c>
      <c r="E97" s="14">
        <v>16.5</v>
      </c>
      <c r="F97" s="15" t="s">
        <v>63</v>
      </c>
      <c r="G97" s="16">
        <v>90</v>
      </c>
    </row>
    <row r="98" spans="1:7" x14ac:dyDescent="0.25">
      <c r="A98" s="17" t="s">
        <v>65</v>
      </c>
      <c r="B98" s="17" t="s">
        <v>64</v>
      </c>
      <c r="C98" s="17" t="s">
        <v>1</v>
      </c>
      <c r="D98" s="13">
        <v>128.80000000000001</v>
      </c>
      <c r="E98" s="14">
        <v>16</v>
      </c>
      <c r="F98" s="15" t="s">
        <v>63</v>
      </c>
      <c r="G98" s="16">
        <v>91</v>
      </c>
    </row>
    <row r="99" spans="1:7" x14ac:dyDescent="0.25">
      <c r="A99" s="17" t="s">
        <v>126</v>
      </c>
      <c r="B99" s="17" t="s">
        <v>62</v>
      </c>
      <c r="C99" s="17" t="s">
        <v>0</v>
      </c>
      <c r="D99" s="13">
        <v>128.80000000000001</v>
      </c>
      <c r="E99" s="14">
        <v>12</v>
      </c>
      <c r="F99" s="15" t="s">
        <v>59</v>
      </c>
      <c r="G99" s="16">
        <v>92</v>
      </c>
    </row>
    <row r="100" spans="1:7" x14ac:dyDescent="0.25">
      <c r="A100" s="17" t="s">
        <v>115</v>
      </c>
      <c r="B100" s="17" t="s">
        <v>69</v>
      </c>
      <c r="C100" s="17" t="s">
        <v>68</v>
      </c>
      <c r="D100" s="13">
        <v>119.6</v>
      </c>
      <c r="E100" s="14">
        <v>14</v>
      </c>
      <c r="F100" s="15" t="s">
        <v>63</v>
      </c>
      <c r="G100" s="16">
        <v>93</v>
      </c>
    </row>
    <row r="101" spans="1:7" x14ac:dyDescent="0.25">
      <c r="A101" s="17" t="s">
        <v>112</v>
      </c>
      <c r="B101" s="17" t="s">
        <v>69</v>
      </c>
      <c r="C101" s="17" t="s">
        <v>0</v>
      </c>
      <c r="D101" s="13">
        <v>128.80000000000001</v>
      </c>
      <c r="E101" s="14">
        <v>12</v>
      </c>
      <c r="F101" s="15" t="s">
        <v>59</v>
      </c>
      <c r="G101" s="16">
        <v>94</v>
      </c>
    </row>
    <row r="102" spans="1:7" x14ac:dyDescent="0.25">
      <c r="A102" s="17" t="s">
        <v>129</v>
      </c>
      <c r="B102" s="17" t="s">
        <v>58</v>
      </c>
      <c r="C102" s="17" t="s">
        <v>0</v>
      </c>
      <c r="D102" s="13">
        <v>128.80000000000001</v>
      </c>
      <c r="E102" s="14">
        <v>11.5</v>
      </c>
      <c r="F102" s="15" t="s">
        <v>59</v>
      </c>
      <c r="G102" s="16">
        <v>95</v>
      </c>
    </row>
    <row r="103" spans="1:7" x14ac:dyDescent="0.25">
      <c r="A103" s="17" t="s">
        <v>35</v>
      </c>
      <c r="B103" s="17" t="s">
        <v>62</v>
      </c>
      <c r="C103" s="17" t="s">
        <v>2</v>
      </c>
      <c r="D103" s="13">
        <v>165.6</v>
      </c>
      <c r="E103" s="14">
        <v>18.5</v>
      </c>
      <c r="F103" s="15" t="s">
        <v>63</v>
      </c>
      <c r="G103" s="16">
        <v>96</v>
      </c>
    </row>
    <row r="104" spans="1:7" x14ac:dyDescent="0.25">
      <c r="A104" s="17" t="s">
        <v>33</v>
      </c>
      <c r="B104" s="17" t="s">
        <v>69</v>
      </c>
      <c r="C104" s="17" t="s">
        <v>2</v>
      </c>
      <c r="D104" s="13">
        <v>165.6</v>
      </c>
      <c r="E104" s="14">
        <v>19</v>
      </c>
      <c r="F104" s="15" t="s">
        <v>63</v>
      </c>
      <c r="G104" s="16">
        <v>97</v>
      </c>
    </row>
    <row r="105" spans="1:7" x14ac:dyDescent="0.25">
      <c r="A105" s="17" t="s">
        <v>11</v>
      </c>
      <c r="B105" s="17" t="s">
        <v>64</v>
      </c>
      <c r="C105" s="17" t="s">
        <v>0</v>
      </c>
      <c r="D105" s="13">
        <v>128.80000000000001</v>
      </c>
      <c r="E105" s="14">
        <v>15.5</v>
      </c>
      <c r="F105" s="15" t="s">
        <v>63</v>
      </c>
      <c r="G105" s="16">
        <v>98</v>
      </c>
    </row>
    <row r="106" spans="1:7" x14ac:dyDescent="0.25">
      <c r="A106" s="17" t="s">
        <v>48</v>
      </c>
      <c r="B106" s="17" t="s">
        <v>62</v>
      </c>
      <c r="C106" s="17" t="s">
        <v>0</v>
      </c>
      <c r="D106" s="13">
        <v>128.80000000000001</v>
      </c>
      <c r="E106" s="14">
        <v>17</v>
      </c>
      <c r="F106" s="15" t="s">
        <v>63</v>
      </c>
      <c r="G106" s="16">
        <v>99</v>
      </c>
    </row>
    <row r="107" spans="1:7" x14ac:dyDescent="0.25">
      <c r="A107" s="17" t="s">
        <v>72</v>
      </c>
      <c r="B107" s="17" t="s">
        <v>69</v>
      </c>
      <c r="C107" s="17" t="s">
        <v>1</v>
      </c>
      <c r="D107" s="13">
        <v>128.80000000000001</v>
      </c>
      <c r="E107" s="14">
        <v>13</v>
      </c>
      <c r="F107" s="15" t="s">
        <v>59</v>
      </c>
      <c r="G107" s="16">
        <v>100</v>
      </c>
    </row>
  </sheetData>
  <sortState xmlns:xlrd2="http://schemas.microsoft.com/office/spreadsheetml/2017/richdata2" ref="A8:G107">
    <sortCondition ref="G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EJERC1</vt:lpstr>
      <vt:lpstr>EJERC2</vt:lpstr>
      <vt:lpstr>EJERC4</vt:lpstr>
      <vt:lpstr>EJERC5</vt:lpstr>
      <vt:lpstr>EJERC 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CEPS</dc:creator>
  <cp:lastModifiedBy>Protagonistas</cp:lastModifiedBy>
  <dcterms:created xsi:type="dcterms:W3CDTF">2012-09-21T15:02:27Z</dcterms:created>
  <dcterms:modified xsi:type="dcterms:W3CDTF">2026-05-09T20:33:35Z</dcterms:modified>
</cp:coreProperties>
</file>