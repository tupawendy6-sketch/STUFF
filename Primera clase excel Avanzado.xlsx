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activeTab="1"/>
  </bookViews>
  <sheets>
    <sheet name="PSI" sheetId="21" r:id="rId1"/>
    <sheet name="AP1" sheetId="18" r:id="rId2"/>
    <sheet name="AP2" sheetId="12" r:id="rId3"/>
    <sheet name="AP4" sheetId="23" r:id="rId4"/>
    <sheet name="AP5" sheetId="24" r:id="rId5"/>
    <sheet name="AP6" sheetId="25" r:id="rId6"/>
    <sheet name="AP7" sheetId="28" r:id="rId7"/>
    <sheet name="2022" sheetId="26" r:id="rId8"/>
    <sheet name="2023" sheetId="27" r:id="rId9"/>
    <sheet name="2024" sheetId="29" r:id="rId10"/>
    <sheet name="2025" sheetId="30" r:id="rId11"/>
  </sheets>
  <definedNames>
    <definedName name="_xlnm._FilterDatabase" localSheetId="1" hidden="1">'AP1'!$D$17:$N$77</definedName>
    <definedName name="_xlnm._FilterDatabase" localSheetId="2" hidden="1">'AP2'!#REF!</definedName>
    <definedName name="_xlnm._FilterDatabase" localSheetId="4" hidden="1">'AP5'!$C$14:$J$44</definedName>
    <definedName name="_Hlk180132863" localSheetId="0">PSI!$A$2</definedName>
    <definedName name="juan" localSheetId="1">#REF!</definedName>
    <definedName name="juan">#REF!</definedName>
    <definedName name="lorena" localSheetId="1">#REF!</definedName>
    <definedName name="lorena">#REF!</definedName>
    <definedName name="pedro" localSheetId="1">#REF!</definedName>
    <definedName name="pedr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24" l="1"/>
  <c r="N16" i="24"/>
  <c r="R10" i="25"/>
  <c r="AA40" i="23"/>
  <c r="N9" i="25" l="1"/>
  <c r="AA23" i="23" l="1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1" i="23"/>
  <c r="AA42" i="23"/>
  <c r="AA43" i="23"/>
  <c r="AA44" i="23"/>
  <c r="AA45" i="23"/>
  <c r="AA46" i="23"/>
  <c r="AA47" i="23"/>
  <c r="AA48" i="23"/>
  <c r="AA49" i="23"/>
  <c r="AA50" i="23"/>
  <c r="AA51" i="23"/>
  <c r="AA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22" i="23"/>
</calcChain>
</file>

<file path=xl/sharedStrings.xml><?xml version="1.0" encoding="utf-8"?>
<sst xmlns="http://schemas.openxmlformats.org/spreadsheetml/2006/main" count="1318" uniqueCount="547">
  <si>
    <t xml:space="preserve">Promedio </t>
  </si>
  <si>
    <t>Nombre</t>
  </si>
  <si>
    <t>Promedio</t>
  </si>
  <si>
    <t>Número de carnet</t>
  </si>
  <si>
    <t>Nombre y apellidos</t>
  </si>
  <si>
    <t>Fecha de ingreso</t>
  </si>
  <si>
    <t>Categoría</t>
  </si>
  <si>
    <t>Sexos</t>
  </si>
  <si>
    <t>Beca</t>
  </si>
  <si>
    <t>Cédula</t>
  </si>
  <si>
    <t>Carrera</t>
  </si>
  <si>
    <t>Condición</t>
  </si>
  <si>
    <t>Incentivo</t>
  </si>
  <si>
    <t>Código de carrera</t>
  </si>
  <si>
    <t>C0001</t>
  </si>
  <si>
    <t>Paulina Nicolau Machado</t>
  </si>
  <si>
    <t>Estudiante especial</t>
  </si>
  <si>
    <t>M</t>
  </si>
  <si>
    <t>005-11-4992</t>
  </si>
  <si>
    <t>Derecho</t>
  </si>
  <si>
    <t>Suspendido</t>
  </si>
  <si>
    <t>DER470</t>
  </si>
  <si>
    <t>C0002</t>
  </si>
  <si>
    <t>Imelda de Grande</t>
  </si>
  <si>
    <t>312-19-0631</t>
  </si>
  <si>
    <t>Arquitectura</t>
  </si>
  <si>
    <t>Egresado</t>
  </si>
  <si>
    <t>ARQ649</t>
  </si>
  <si>
    <t>C0003</t>
  </si>
  <si>
    <t>Custodio Castro Cortés</t>
  </si>
  <si>
    <t>F</t>
  </si>
  <si>
    <t>163-86-5975</t>
  </si>
  <si>
    <t>Economía</t>
  </si>
  <si>
    <t>ECO856</t>
  </si>
  <si>
    <t>C0004</t>
  </si>
  <si>
    <t>Bárbara Zamora</t>
  </si>
  <si>
    <t>Estudiante regular</t>
  </si>
  <si>
    <t>156-85-4396</t>
  </si>
  <si>
    <t>ECO550</t>
  </si>
  <si>
    <t>C0005</t>
  </si>
  <si>
    <t>Felicia Jennifer Gibert Diaz</t>
  </si>
  <si>
    <t>Reingresado</t>
  </si>
  <si>
    <t>No</t>
  </si>
  <si>
    <t>149-15-4078</t>
  </si>
  <si>
    <t>ARQ272</t>
  </si>
  <si>
    <t>C0006</t>
  </si>
  <si>
    <t>Pancho Puente Buendía</t>
  </si>
  <si>
    <t>529-89-6275</t>
  </si>
  <si>
    <t>DER142</t>
  </si>
  <si>
    <t>C0007</t>
  </si>
  <si>
    <t>Elba Pallarès Ibarra</t>
  </si>
  <si>
    <t>761-47-0347</t>
  </si>
  <si>
    <t>Ingeniería Civil</t>
  </si>
  <si>
    <t>ING354</t>
  </si>
  <si>
    <t>C0008</t>
  </si>
  <si>
    <t>Porfirio Arenas Mayoral</t>
  </si>
  <si>
    <t>035-08-2270</t>
  </si>
  <si>
    <t>Medicina</t>
  </si>
  <si>
    <t>MED170</t>
  </si>
  <si>
    <t>C0009</t>
  </si>
  <si>
    <t>Encarnacion Ordóñez Villar</t>
  </si>
  <si>
    <t>069-87-8046</t>
  </si>
  <si>
    <t>ARQ268</t>
  </si>
  <si>
    <t>C0010</t>
  </si>
  <si>
    <t>Rosalina Pedrosa Godoy</t>
  </si>
  <si>
    <t>658-69-2936</t>
  </si>
  <si>
    <t>DER327</t>
  </si>
  <si>
    <t>C0011</t>
  </si>
  <si>
    <t>Baudelio Álvaro Conde</t>
  </si>
  <si>
    <t>746-43-7635</t>
  </si>
  <si>
    <t>Psicología</t>
  </si>
  <si>
    <t>PSI107</t>
  </si>
  <si>
    <t>C0012</t>
  </si>
  <si>
    <t>Laura Padilla Vergara</t>
  </si>
  <si>
    <t>459-50-6291</t>
  </si>
  <si>
    <t>ING556</t>
  </si>
  <si>
    <t>C0013</t>
  </si>
  <si>
    <t>Albano Ortega Cadenas</t>
  </si>
  <si>
    <t>689-33-4029</t>
  </si>
  <si>
    <t>Activo</t>
  </si>
  <si>
    <t>ECO780</t>
  </si>
  <si>
    <t>C0014</t>
  </si>
  <si>
    <t>Virginia Salcedo Tapia</t>
  </si>
  <si>
    <t>663-10-5633</t>
  </si>
  <si>
    <t>PSI988</t>
  </si>
  <si>
    <t>C0015</t>
  </si>
  <si>
    <t>Mario del Escamilla</t>
  </si>
  <si>
    <t>382-71-7900</t>
  </si>
  <si>
    <t>PSI278</t>
  </si>
  <si>
    <t>C0016</t>
  </si>
  <si>
    <t>Ascensión Aragonés Cabanillas</t>
  </si>
  <si>
    <t>991-14-5828</t>
  </si>
  <si>
    <t>ING827</t>
  </si>
  <si>
    <t>C0017</t>
  </si>
  <si>
    <t>Bruno Ibáñez</t>
  </si>
  <si>
    <t>046-04-9361</t>
  </si>
  <si>
    <t>ECO232</t>
  </si>
  <si>
    <t>C0018</t>
  </si>
  <si>
    <t>León Aramburu Lopez</t>
  </si>
  <si>
    <t>767-18-6768</t>
  </si>
  <si>
    <t>ARQ868</t>
  </si>
  <si>
    <t>C0019</t>
  </si>
  <si>
    <t>Natanael Ale Gordillo Prat</t>
  </si>
  <si>
    <t>165-43-3669</t>
  </si>
  <si>
    <t>DER253</t>
  </si>
  <si>
    <t>C0020</t>
  </si>
  <si>
    <t>Abril Arroyo Sevilla</t>
  </si>
  <si>
    <t>145-46-6765</t>
  </si>
  <si>
    <t>ARQ967</t>
  </si>
  <si>
    <t>C0021</t>
  </si>
  <si>
    <t>Silvio Núñez Murcia</t>
  </si>
  <si>
    <t>003-29-3042</t>
  </si>
  <si>
    <t>ARQ924</t>
  </si>
  <si>
    <t>C0022</t>
  </si>
  <si>
    <t>Heraclio Vazquez-Samper</t>
  </si>
  <si>
    <t>303-51-4921</t>
  </si>
  <si>
    <t>DER648</t>
  </si>
  <si>
    <t>C0023</t>
  </si>
  <si>
    <t>Domingo Villa Zamorano</t>
  </si>
  <si>
    <t>274-72-6832</t>
  </si>
  <si>
    <t>MED948</t>
  </si>
  <si>
    <t>C0024</t>
  </si>
  <si>
    <t>Loida Luque Orozco</t>
  </si>
  <si>
    <t>095-42-4994</t>
  </si>
  <si>
    <t>ARQ602</t>
  </si>
  <si>
    <t>C0025</t>
  </si>
  <si>
    <t>Felicidad Calderon</t>
  </si>
  <si>
    <t>974-12-2837</t>
  </si>
  <si>
    <t>ING835</t>
  </si>
  <si>
    <t>C0026</t>
  </si>
  <si>
    <t>Consuela de Navas</t>
  </si>
  <si>
    <t>302-32-4800</t>
  </si>
  <si>
    <t>ING357</t>
  </si>
  <si>
    <t>C0027</t>
  </si>
  <si>
    <t>Brunilda de Carrera</t>
  </si>
  <si>
    <t>510-67-5058</t>
  </si>
  <si>
    <t>ING258</t>
  </si>
  <si>
    <t>C0028</t>
  </si>
  <si>
    <t>Mercedes Artigas-Benítez</t>
  </si>
  <si>
    <t>423-32-3373</t>
  </si>
  <si>
    <t>PSI800</t>
  </si>
  <si>
    <t>C0029</t>
  </si>
  <si>
    <t>Miriam Cazorla Conde</t>
  </si>
  <si>
    <t>801-97-2283</t>
  </si>
  <si>
    <t>DER118</t>
  </si>
  <si>
    <t>C0030</t>
  </si>
  <si>
    <t>Ramón Rivera Rios</t>
  </si>
  <si>
    <t>992-99-0927</t>
  </si>
  <si>
    <t>DER944</t>
  </si>
  <si>
    <t>C0031</t>
  </si>
  <si>
    <t>Poncio Bertrán-Valcárcel</t>
  </si>
  <si>
    <t>682-09-1958</t>
  </si>
  <si>
    <t>ECO424</t>
  </si>
  <si>
    <t>C0032</t>
  </si>
  <si>
    <t>Lalo Feijoo Campos</t>
  </si>
  <si>
    <t>604-14-4290</t>
  </si>
  <si>
    <t>ARQ969</t>
  </si>
  <si>
    <t>C0033</t>
  </si>
  <si>
    <t>Federico del Gilabert</t>
  </si>
  <si>
    <t>402-34-6943</t>
  </si>
  <si>
    <t>DER691</t>
  </si>
  <si>
    <t>C0034</t>
  </si>
  <si>
    <t>Sancho Ruiz Suarez</t>
  </si>
  <si>
    <t>334-38-3021</t>
  </si>
  <si>
    <t>MED421</t>
  </si>
  <si>
    <t>C0035</t>
  </si>
  <si>
    <t>Aurelia Villa Mancebo</t>
  </si>
  <si>
    <t>441-93-9726</t>
  </si>
  <si>
    <t>ING938</t>
  </si>
  <si>
    <t>C0036</t>
  </si>
  <si>
    <t>Arcelia Farré Ferrando</t>
  </si>
  <si>
    <t>277-48-6985</t>
  </si>
  <si>
    <t>DER919</t>
  </si>
  <si>
    <t>C0037</t>
  </si>
  <si>
    <t>Dorita Bayón Esteve</t>
  </si>
  <si>
    <t>059-11-3773</t>
  </si>
  <si>
    <t>ING906</t>
  </si>
  <si>
    <t>C0038</t>
  </si>
  <si>
    <t>Álvaro Borrell Cisneros</t>
  </si>
  <si>
    <t>292-61-2199</t>
  </si>
  <si>
    <t>ING605</t>
  </si>
  <si>
    <t>C0039</t>
  </si>
  <si>
    <t>Alcides Mosquera-Garriga</t>
  </si>
  <si>
    <t>103-04-1585</t>
  </si>
  <si>
    <t>DER605</t>
  </si>
  <si>
    <t>C0040</t>
  </si>
  <si>
    <t>Ángel Oliveras-Núñez</t>
  </si>
  <si>
    <t>078-29-0034</t>
  </si>
  <si>
    <t>DER271</t>
  </si>
  <si>
    <t>C0041</t>
  </si>
  <si>
    <t>Eulalia Naranjo Rocamora</t>
  </si>
  <si>
    <t>133-95-8089</t>
  </si>
  <si>
    <t>ECO430</t>
  </si>
  <si>
    <t>C0042</t>
  </si>
  <si>
    <t>Julio Neira Coll</t>
  </si>
  <si>
    <t>472-94-9024</t>
  </si>
  <si>
    <t>ECO959</t>
  </si>
  <si>
    <t>C0043</t>
  </si>
  <si>
    <t>Obdulia Ledesma-Amor</t>
  </si>
  <si>
    <t>570-46-8833</t>
  </si>
  <si>
    <t>ARQ387</t>
  </si>
  <si>
    <t>C0044</t>
  </si>
  <si>
    <t>Joaquina Antúnez Briones</t>
  </si>
  <si>
    <t>365-73-2548</t>
  </si>
  <si>
    <t>DER613</t>
  </si>
  <si>
    <t>C0045</t>
  </si>
  <si>
    <t>Marcelino Núñez-Anguita</t>
  </si>
  <si>
    <t>164-16-3710</t>
  </si>
  <si>
    <t>MED325</t>
  </si>
  <si>
    <t>C0046</t>
  </si>
  <si>
    <t>Nerea Arnau Cerdán</t>
  </si>
  <si>
    <t>479-08-0352</t>
  </si>
  <si>
    <t>ECO212</t>
  </si>
  <si>
    <t>C0047</t>
  </si>
  <si>
    <t>Purificación Fernandez</t>
  </si>
  <si>
    <t>463-38-6950</t>
  </si>
  <si>
    <t>MED609</t>
  </si>
  <si>
    <t>C0048</t>
  </si>
  <si>
    <t>Jacinta Olivia Roldán Artigas</t>
  </si>
  <si>
    <t>005-44-5496</t>
  </si>
  <si>
    <t>MED445</t>
  </si>
  <si>
    <t>C0049</t>
  </si>
  <si>
    <t>Teo Hierro</t>
  </si>
  <si>
    <t>830-50-0943</t>
  </si>
  <si>
    <t>DER962</t>
  </si>
  <si>
    <t>C0050</t>
  </si>
  <si>
    <t>Aníbal Fulgencio Morán Roselló</t>
  </si>
  <si>
    <t>478-58-5454</t>
  </si>
  <si>
    <t>MED791</t>
  </si>
  <si>
    <t>C0051</t>
  </si>
  <si>
    <t>Encarnación Bartolomé Sáez</t>
  </si>
  <si>
    <t>171-20-7481</t>
  </si>
  <si>
    <t>MED140</t>
  </si>
  <si>
    <t>C0052</t>
  </si>
  <si>
    <t>Clotilde Gomis Marí</t>
  </si>
  <si>
    <t>345-54-8662</t>
  </si>
  <si>
    <t>MED986</t>
  </si>
  <si>
    <t>C0053</t>
  </si>
  <si>
    <t>Virginia Agustín Jover</t>
  </si>
  <si>
    <t>569-20-8524</t>
  </si>
  <si>
    <t>ECO195</t>
  </si>
  <si>
    <t>C0054</t>
  </si>
  <si>
    <t>Ángel Coca Carbajo</t>
  </si>
  <si>
    <t>047-09-0897</t>
  </si>
  <si>
    <t>ARQ994</t>
  </si>
  <si>
    <t>C0055</t>
  </si>
  <si>
    <t>Verónica Blanch Torrent</t>
  </si>
  <si>
    <t>027-62-7581</t>
  </si>
  <si>
    <t>ING655</t>
  </si>
  <si>
    <t>C0056</t>
  </si>
  <si>
    <t>Javi Lloret Ramón</t>
  </si>
  <si>
    <t>231-01-4421</t>
  </si>
  <si>
    <t>ECO597</t>
  </si>
  <si>
    <t>C0057</t>
  </si>
  <si>
    <t>Basilio Roldan Frías</t>
  </si>
  <si>
    <t>130-72-1547</t>
  </si>
  <si>
    <t>DER414</t>
  </si>
  <si>
    <t>C0058</t>
  </si>
  <si>
    <t>Leoncio Bermúdez Montalbán</t>
  </si>
  <si>
    <t>538-96-4718</t>
  </si>
  <si>
    <t>ARQ393</t>
  </si>
  <si>
    <t>C0059</t>
  </si>
  <si>
    <t>Timoteo Cervera-Moles</t>
  </si>
  <si>
    <t>549-53-8890</t>
  </si>
  <si>
    <t>DER645</t>
  </si>
  <si>
    <t>C0060</t>
  </si>
  <si>
    <t>Abraham Moya Zabala</t>
  </si>
  <si>
    <t>981-26-6999</t>
  </si>
  <si>
    <t>ECO988</t>
  </si>
  <si>
    <t>1- Calcular el Total de Estudiantes</t>
  </si>
  <si>
    <t xml:space="preserve">Total alumnos </t>
  </si>
  <si>
    <t xml:space="preserve">2- Calcula el total de incentivos de los Estudiantes </t>
  </si>
  <si>
    <t xml:space="preserve">Total Incentivo </t>
  </si>
  <si>
    <t xml:space="preserve">3- Calcula el Promedio de Incentivos de los Estudiantes </t>
  </si>
  <si>
    <t xml:space="preserve">4- Calcula el maximo y minimo de incentivos </t>
  </si>
  <si>
    <t>Mínimo</t>
  </si>
  <si>
    <t>Máximo</t>
  </si>
  <si>
    <t xml:space="preserve">5- Calcula la cantidad de estudiantes por sexo </t>
  </si>
  <si>
    <t>Masculinos</t>
  </si>
  <si>
    <t>Femenino</t>
  </si>
  <si>
    <t>TOTAL</t>
  </si>
  <si>
    <t xml:space="preserve">6- Calcular el total de estudiantes con becas y no tiene beca </t>
  </si>
  <si>
    <t xml:space="preserve">Beca </t>
  </si>
  <si>
    <t xml:space="preserve">No beca </t>
  </si>
  <si>
    <t xml:space="preserve">7-Calcula el total de estudiantes por carrera </t>
  </si>
  <si>
    <t xml:space="preserve">Total </t>
  </si>
  <si>
    <t xml:space="preserve">9- Calcula el total de estudiantes por categoria </t>
  </si>
  <si>
    <t xml:space="preserve">10- Calcula el total de incentivos por categoria </t>
  </si>
  <si>
    <t>Ingresaron Antes del año 2022</t>
  </si>
  <si>
    <t>Igual o después del año 2024</t>
  </si>
  <si>
    <t xml:space="preserve">11- Calcula el total de alumnos </t>
  </si>
  <si>
    <t xml:space="preserve">12- Calcula la cantidad de Estudiantes </t>
  </si>
  <si>
    <t>ID</t>
  </si>
  <si>
    <t>María</t>
  </si>
  <si>
    <t>Ana</t>
  </si>
  <si>
    <t>Lucía</t>
  </si>
  <si>
    <t>Luis</t>
  </si>
  <si>
    <t>Carlos</t>
  </si>
  <si>
    <t>8- calcula el total de ingresos por carrera</t>
  </si>
  <si>
    <t>SI</t>
  </si>
  <si>
    <t>Entre el año 2022 - 2023</t>
  </si>
  <si>
    <t xml:space="preserve">1.  FUNCIONES AVANZADAS </t>
  </si>
  <si>
    <t>¿ Que son las funciones avanzadas ?</t>
  </si>
  <si>
    <t>¿Cuáles son las funciones avanzadas?</t>
  </si>
  <si>
    <t>Ventas</t>
  </si>
  <si>
    <t>Producto</t>
  </si>
  <si>
    <t>Descuento</t>
  </si>
  <si>
    <t>Fecha</t>
  </si>
  <si>
    <t>Sandra</t>
  </si>
  <si>
    <t>10%</t>
  </si>
  <si>
    <t>12%</t>
  </si>
  <si>
    <t>15%</t>
  </si>
  <si>
    <t>Diego</t>
  </si>
  <si>
    <t>19%</t>
  </si>
  <si>
    <t>Mario</t>
  </si>
  <si>
    <t>14%</t>
  </si>
  <si>
    <t>16%</t>
  </si>
  <si>
    <t>Nota1</t>
  </si>
  <si>
    <t>Nota2</t>
  </si>
  <si>
    <t>Nota3</t>
  </si>
  <si>
    <t>Pablo</t>
  </si>
  <si>
    <t>APROBADO &gt;=</t>
  </si>
  <si>
    <t>VERANO&gt;=</t>
  </si>
  <si>
    <t>REPROBADO&lt;</t>
  </si>
  <si>
    <t xml:space="preserve">Condicion </t>
  </si>
  <si>
    <t>Código</t>
  </si>
  <si>
    <t>Precio</t>
  </si>
  <si>
    <t>Stock</t>
  </si>
  <si>
    <t>Proveedor</t>
  </si>
  <si>
    <t>Costo</t>
  </si>
  <si>
    <t>Margen</t>
  </si>
  <si>
    <t>P539</t>
  </si>
  <si>
    <t>ProdA</t>
  </si>
  <si>
    <t>Prov3</t>
  </si>
  <si>
    <t>Cat1</t>
  </si>
  <si>
    <t>41%</t>
  </si>
  <si>
    <t>P362</t>
  </si>
  <si>
    <t>ProdB</t>
  </si>
  <si>
    <t>Prov1</t>
  </si>
  <si>
    <t>Cat3</t>
  </si>
  <si>
    <t>21%</t>
  </si>
  <si>
    <t>P494</t>
  </si>
  <si>
    <t>P508</t>
  </si>
  <si>
    <t>ProdC</t>
  </si>
  <si>
    <t>Cat2</t>
  </si>
  <si>
    <t>P558</t>
  </si>
  <si>
    <t>Prov2</t>
  </si>
  <si>
    <t>33%</t>
  </si>
  <si>
    <t>P862</t>
  </si>
  <si>
    <t>43%</t>
  </si>
  <si>
    <t>P283</t>
  </si>
  <si>
    <t>P947</t>
  </si>
  <si>
    <t>40%</t>
  </si>
  <si>
    <t>P181</t>
  </si>
  <si>
    <t>46%</t>
  </si>
  <si>
    <t>P711</t>
  </si>
  <si>
    <t>27%</t>
  </si>
  <si>
    <t>P101</t>
  </si>
  <si>
    <t>P535</t>
  </si>
  <si>
    <t>22%</t>
  </si>
  <si>
    <t>P984</t>
  </si>
  <si>
    <t>P595</t>
  </si>
  <si>
    <t>P189</t>
  </si>
  <si>
    <t>P671</t>
  </si>
  <si>
    <t>P623</t>
  </si>
  <si>
    <t>P150</t>
  </si>
  <si>
    <t>39%</t>
  </si>
  <si>
    <t>P384</t>
  </si>
  <si>
    <t>34%</t>
  </si>
  <si>
    <t>P422</t>
  </si>
  <si>
    <t>P186</t>
  </si>
  <si>
    <t>26%</t>
  </si>
  <si>
    <t>P677</t>
  </si>
  <si>
    <t>44%</t>
  </si>
  <si>
    <t>P256</t>
  </si>
  <si>
    <t>38%</t>
  </si>
  <si>
    <t>P294</t>
  </si>
  <si>
    <t>29%</t>
  </si>
  <si>
    <t>P205</t>
  </si>
  <si>
    <t>P413</t>
  </si>
  <si>
    <t>36%</t>
  </si>
  <si>
    <t>P523</t>
  </si>
  <si>
    <t>P712</t>
  </si>
  <si>
    <t>P154</t>
  </si>
  <si>
    <t>P581</t>
  </si>
  <si>
    <t>48%</t>
  </si>
  <si>
    <t>ventas Excelente &gt;=</t>
  </si>
  <si>
    <t>ventas buenas &gt;=</t>
  </si>
  <si>
    <t>ventas bajas &lt;</t>
  </si>
  <si>
    <t>Vendedor</t>
  </si>
  <si>
    <t>Departamentos (Nicaragua)</t>
  </si>
  <si>
    <t>Productos</t>
  </si>
  <si>
    <t>Forma de Pago</t>
  </si>
  <si>
    <t>Total Venta</t>
  </si>
  <si>
    <t>Cantidades</t>
  </si>
  <si>
    <t>Elena</t>
  </si>
  <si>
    <t>León</t>
  </si>
  <si>
    <t>Arroz</t>
  </si>
  <si>
    <t>Transferencia</t>
  </si>
  <si>
    <t>2025-01-19</t>
  </si>
  <si>
    <t>Managua</t>
  </si>
  <si>
    <t>Café</t>
  </si>
  <si>
    <t>Crédito</t>
  </si>
  <si>
    <t>2025-02-10</t>
  </si>
  <si>
    <t>Efectivo</t>
  </si>
  <si>
    <t>2025-01-27</t>
  </si>
  <si>
    <t>Azúcar</t>
  </si>
  <si>
    <t>2025-05-06</t>
  </si>
  <si>
    <t>2024-05-26</t>
  </si>
  <si>
    <t>Matagalpa</t>
  </si>
  <si>
    <t>Aceite</t>
  </si>
  <si>
    <t>2024-06-14</t>
  </si>
  <si>
    <t>Tarjeta</t>
  </si>
  <si>
    <t>2024-09-27</t>
  </si>
  <si>
    <t>2024-08-01</t>
  </si>
  <si>
    <t>Masaya</t>
  </si>
  <si>
    <t>2024-08-24</t>
  </si>
  <si>
    <t>José</t>
  </si>
  <si>
    <t>2025-03-19</t>
  </si>
  <si>
    <t>2024-12-09</t>
  </si>
  <si>
    <t>Granada</t>
  </si>
  <si>
    <t>2024-12-23</t>
  </si>
  <si>
    <t>2024-10-03</t>
  </si>
  <si>
    <t>2024-10-15</t>
  </si>
  <si>
    <t>2024-07-01</t>
  </si>
  <si>
    <t>Frijoles</t>
  </si>
  <si>
    <t>2024-08-07</t>
  </si>
  <si>
    <t>2025-03-18</t>
  </si>
  <si>
    <t>2024-11-23</t>
  </si>
  <si>
    <t>2024-12-02</t>
  </si>
  <si>
    <t>2024-09-26</t>
  </si>
  <si>
    <t>2024-12-31</t>
  </si>
  <si>
    <t>2025-04-05</t>
  </si>
  <si>
    <t>2024-11-08</t>
  </si>
  <si>
    <t>2024-11-12</t>
  </si>
  <si>
    <t>2025-02-15</t>
  </si>
  <si>
    <t>2025-01-20</t>
  </si>
  <si>
    <t>2025-03-09</t>
  </si>
  <si>
    <t>2024-06-24</t>
  </si>
  <si>
    <t>2025-03-08</t>
  </si>
  <si>
    <t>Arroz, pago en efectivo</t>
  </si>
  <si>
    <t>Arroz, pago en Tranferencia</t>
  </si>
  <si>
    <t>Café, credito</t>
  </si>
  <si>
    <t>café</t>
  </si>
  <si>
    <t>café, efectivo</t>
  </si>
  <si>
    <t xml:space="preserve">aceite, Tranferencia </t>
  </si>
  <si>
    <t xml:space="preserve">aceite, tarjeta </t>
  </si>
  <si>
    <t xml:space="preserve">1- Sumar las ventas según los siguientes criterios </t>
  </si>
  <si>
    <t>Managua, Efectivo</t>
  </si>
  <si>
    <t>Masaya, Credito</t>
  </si>
  <si>
    <t>Tarea</t>
  </si>
  <si>
    <t>Estado</t>
  </si>
  <si>
    <t>Responsable</t>
  </si>
  <si>
    <t>Inicio</t>
  </si>
  <si>
    <t>Fin</t>
  </si>
  <si>
    <t>Duración</t>
  </si>
  <si>
    <t>Prioridad</t>
  </si>
  <si>
    <t>Progreso</t>
  </si>
  <si>
    <t>Proyecto</t>
  </si>
  <si>
    <t>T679</t>
  </si>
  <si>
    <t>Tarea2</t>
  </si>
  <si>
    <t>En curso</t>
  </si>
  <si>
    <t>Alta</t>
  </si>
  <si>
    <t>Proyecto2</t>
  </si>
  <si>
    <t>T905</t>
  </si>
  <si>
    <t>Pendiente</t>
  </si>
  <si>
    <t>Media</t>
  </si>
  <si>
    <t>30%</t>
  </si>
  <si>
    <t>T895</t>
  </si>
  <si>
    <t>Tarea1</t>
  </si>
  <si>
    <t>Andrés</t>
  </si>
  <si>
    <t>89%</t>
  </si>
  <si>
    <t>T654</t>
  </si>
  <si>
    <t>2%</t>
  </si>
  <si>
    <t>Proyecto1</t>
  </si>
  <si>
    <t>T770</t>
  </si>
  <si>
    <t>Finalizado</t>
  </si>
  <si>
    <t>57%</t>
  </si>
  <si>
    <t>T198</t>
  </si>
  <si>
    <t>Baja</t>
  </si>
  <si>
    <t>T119</t>
  </si>
  <si>
    <t>7%</t>
  </si>
  <si>
    <t>T642</t>
  </si>
  <si>
    <t>T214</t>
  </si>
  <si>
    <t>T430</t>
  </si>
  <si>
    <t>95%</t>
  </si>
  <si>
    <t>T365</t>
  </si>
  <si>
    <t>5%</t>
  </si>
  <si>
    <t>T678</t>
  </si>
  <si>
    <t>18%</t>
  </si>
  <si>
    <t>T832</t>
  </si>
  <si>
    <t>T618</t>
  </si>
  <si>
    <t>31%</t>
  </si>
  <si>
    <t>T677</t>
  </si>
  <si>
    <t>51%</t>
  </si>
  <si>
    <t>T122</t>
  </si>
  <si>
    <t>97%</t>
  </si>
  <si>
    <t>T865</t>
  </si>
  <si>
    <t>T406</t>
  </si>
  <si>
    <t>T194</t>
  </si>
  <si>
    <t>80%</t>
  </si>
  <si>
    <t>T268</t>
  </si>
  <si>
    <t>84%</t>
  </si>
  <si>
    <t>T239</t>
  </si>
  <si>
    <t>T578</t>
  </si>
  <si>
    <t>32%</t>
  </si>
  <si>
    <t>T955</t>
  </si>
  <si>
    <t>52%</t>
  </si>
  <si>
    <t>T869</t>
  </si>
  <si>
    <t>3%</t>
  </si>
  <si>
    <t>T590</t>
  </si>
  <si>
    <t>98%</t>
  </si>
  <si>
    <t>T397</t>
  </si>
  <si>
    <t>45%</t>
  </si>
  <si>
    <t>T188</t>
  </si>
  <si>
    <t>77%</t>
  </si>
  <si>
    <t>T600</t>
  </si>
  <si>
    <t>47%</t>
  </si>
  <si>
    <t>T458</t>
  </si>
  <si>
    <t>13%</t>
  </si>
  <si>
    <t>T989</t>
  </si>
  <si>
    <t>60%</t>
  </si>
  <si>
    <t xml:space="preserve">ORDEN </t>
  </si>
  <si>
    <t xml:space="preserve">VALOR </t>
  </si>
  <si>
    <t xml:space="preserve">RESULTADO </t>
  </si>
  <si>
    <t>Pedro</t>
  </si>
  <si>
    <t>Juan</t>
  </si>
  <si>
    <t>Rosa</t>
  </si>
  <si>
    <t>Fabiola</t>
  </si>
  <si>
    <t>Melissa</t>
  </si>
  <si>
    <t>MANAGUA</t>
  </si>
  <si>
    <t xml:space="preserve">VENDEDOR </t>
  </si>
  <si>
    <t>ESTELI</t>
  </si>
  <si>
    <t xml:space="preserve">CHINANDEGA </t>
  </si>
  <si>
    <t xml:space="preserve">RIVAS </t>
  </si>
  <si>
    <t>MATAGALPA</t>
  </si>
  <si>
    <t>OCOTAL</t>
  </si>
  <si>
    <t xml:space="preserve">JUIGALPA </t>
  </si>
  <si>
    <t xml:space="preserve">JINOTEGA </t>
  </si>
  <si>
    <t xml:space="preserve">LEON </t>
  </si>
  <si>
    <t xml:space="preserve">TOTAL </t>
  </si>
  <si>
    <t>CONSOLIDADO 2022-2025</t>
  </si>
  <si>
    <t xml:space="preserve">INDICE </t>
  </si>
  <si>
    <t>N° Fila</t>
  </si>
  <si>
    <t>N° Columna</t>
  </si>
  <si>
    <t>Indice</t>
  </si>
  <si>
    <t>&gt;=01/01/2024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</si>
</sst>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yyyy\-mm\-dd"/>
    <numFmt numFmtId="166" formatCode="&quot;C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6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1F1F"/>
      <name val="Arial"/>
      <family val="2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3" fillId="2" borderId="1" xfId="2" applyFont="1" applyFill="1" applyBorder="1"/>
    <xf numFmtId="0" fontId="3" fillId="2" borderId="1" xfId="0" applyFont="1" applyFill="1" applyBorder="1"/>
    <xf numFmtId="0" fontId="1" fillId="0" borderId="0" xfId="0" applyFont="1"/>
    <xf numFmtId="0" fontId="1" fillId="4" borderId="0" xfId="0" applyFont="1" applyFill="1"/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44" fontId="3" fillId="2" borderId="1" xfId="0" applyNumberFormat="1" applyFont="1" applyFill="1" applyBorder="1"/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44" fontId="0" fillId="0" borderId="1" xfId="0" applyNumberFormat="1" applyBorder="1" applyAlignment="1">
      <alignment horizontal="left"/>
    </xf>
    <xf numFmtId="0" fontId="0" fillId="4" borderId="2" xfId="0" applyFill="1" applyBorder="1" applyAlignment="1"/>
    <xf numFmtId="0" fontId="0" fillId="4" borderId="3" xfId="0" applyFill="1" applyBorder="1" applyAlignment="1"/>
    <xf numFmtId="0" fontId="0" fillId="5" borderId="1" xfId="0" applyFill="1" applyBorder="1"/>
    <xf numFmtId="0" fontId="1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/>
    <xf numFmtId="0" fontId="0" fillId="6" borderId="1" xfId="0" applyFill="1" applyBorder="1" applyAlignment="1">
      <alignment horizontal="center"/>
    </xf>
    <xf numFmtId="43" fontId="0" fillId="6" borderId="1" xfId="2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8" borderId="5" xfId="0" applyFill="1" applyBorder="1"/>
    <xf numFmtId="0" fontId="0" fillId="8" borderId="7" xfId="0" applyFill="1" applyBorder="1"/>
    <xf numFmtId="0" fontId="0" fillId="8" borderId="9" xfId="0" applyFill="1" applyBorder="1"/>
    <xf numFmtId="44" fontId="0" fillId="0" borderId="1" xfId="0" applyNumberFormat="1" applyBorder="1" applyAlignment="1">
      <alignment horizontal="center" vertical="center"/>
    </xf>
    <xf numFmtId="43" fontId="0" fillId="6" borderId="1" xfId="2" applyFont="1" applyFill="1" applyBorder="1" applyAlignment="1">
      <alignment horizontal="center" vertical="center"/>
    </xf>
    <xf numFmtId="43" fontId="0" fillId="6" borderId="1" xfId="2" applyFont="1" applyFill="1" applyBorder="1" applyAlignment="1">
      <alignment vertical="center"/>
    </xf>
    <xf numFmtId="44" fontId="0" fillId="6" borderId="1" xfId="0" applyNumberFormat="1" applyFill="1" applyBorder="1" applyAlignment="1">
      <alignment horizontal="center"/>
    </xf>
    <xf numFmtId="0" fontId="1" fillId="9" borderId="1" xfId="0" applyFont="1" applyFill="1" applyBorder="1"/>
    <xf numFmtId="0" fontId="0" fillId="10" borderId="1" xfId="0" applyFill="1" applyBorder="1" applyAlignment="1">
      <alignment horizontal="center"/>
    </xf>
    <xf numFmtId="44" fontId="0" fillId="10" borderId="1" xfId="0" applyNumberFormat="1" applyFill="1" applyBorder="1" applyAlignment="1">
      <alignment horizontal="center"/>
    </xf>
    <xf numFmtId="166" fontId="0" fillId="0" borderId="1" xfId="0" applyNumberFormat="1" applyBorder="1"/>
    <xf numFmtId="0" fontId="7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/>
    <xf numFmtId="0" fontId="0" fillId="0" borderId="0" xfId="0" applyAlignment="1"/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2" borderId="1" xfId="0" applyFill="1" applyBorder="1"/>
    <xf numFmtId="44" fontId="0" fillId="12" borderId="1" xfId="0" applyNumberFormat="1" applyFill="1" applyBorder="1"/>
    <xf numFmtId="0" fontId="3" fillId="12" borderId="1" xfId="0" applyFont="1" applyFill="1" applyBorder="1"/>
    <xf numFmtId="0" fontId="1" fillId="5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43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9" borderId="1" xfId="0" applyFont="1" applyFill="1" applyBorder="1" applyAlignment="1">
      <alignment horizontal="center"/>
    </xf>
  </cellXfs>
  <cellStyles count="3">
    <cellStyle name="Millares" xfId="2" builtinId="3"/>
    <cellStyle name="Mon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889BEEF-B022-4CE4-84B9-A9A71E2376C6}" type="doc">
      <dgm:prSet loTypeId="urn:microsoft.com/office/officeart/2005/8/layout/h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s-NI"/>
        </a:p>
      </dgm:t>
    </dgm:pt>
    <dgm:pt modelId="{8E0C6CB1-C1D2-4E64-95B6-D515C83C97EC}">
      <dgm:prSet phldrT="[Texto]"/>
      <dgm:spPr/>
      <dgm:t>
        <a:bodyPr/>
        <a:lstStyle/>
        <a:p>
          <a:r>
            <a:rPr lang="es-NI"/>
            <a:t>=SI.ERROR()</a:t>
          </a:r>
        </a:p>
      </dgm:t>
    </dgm:pt>
    <dgm:pt modelId="{81076C72-181D-4A30-BF69-0AC5069FEBD6}" type="parTrans" cxnId="{264DFBEB-0D5C-40AD-A7B7-3BE5BDCA7001}">
      <dgm:prSet/>
      <dgm:spPr/>
      <dgm:t>
        <a:bodyPr/>
        <a:lstStyle/>
        <a:p>
          <a:endParaRPr lang="es-NI"/>
        </a:p>
      </dgm:t>
    </dgm:pt>
    <dgm:pt modelId="{9CDE5149-C54A-4E91-A7F4-030A74367070}" type="sibTrans" cxnId="{264DFBEB-0D5C-40AD-A7B7-3BE5BDCA7001}">
      <dgm:prSet/>
      <dgm:spPr/>
      <dgm:t>
        <a:bodyPr/>
        <a:lstStyle/>
        <a:p>
          <a:endParaRPr lang="es-NI"/>
        </a:p>
      </dgm:t>
    </dgm:pt>
    <dgm:pt modelId="{DAD62F9D-E7A4-406A-8340-4023FFC506AD}">
      <dgm:prSet phldrT="[Texto]"/>
      <dgm:spPr/>
      <dgm:t>
        <a:bodyPr/>
        <a:lstStyle/>
        <a:p>
          <a:r>
            <a:rPr lang="es-NI"/>
            <a:t>=SI.CONJUNTO</a:t>
          </a:r>
        </a:p>
      </dgm:t>
    </dgm:pt>
    <dgm:pt modelId="{44C72176-A38B-4D6C-89EB-DA678F4F1E04}" type="parTrans" cxnId="{D3DF77DE-F228-4C57-95AE-62D698786A61}">
      <dgm:prSet/>
      <dgm:spPr/>
      <dgm:t>
        <a:bodyPr/>
        <a:lstStyle/>
        <a:p>
          <a:endParaRPr lang="es-NI"/>
        </a:p>
      </dgm:t>
    </dgm:pt>
    <dgm:pt modelId="{076D7BBC-7E78-4AED-A315-F8ADF0A47BA9}" type="sibTrans" cxnId="{D3DF77DE-F228-4C57-95AE-62D698786A61}">
      <dgm:prSet/>
      <dgm:spPr/>
      <dgm:t>
        <a:bodyPr/>
        <a:lstStyle/>
        <a:p>
          <a:endParaRPr lang="es-NI"/>
        </a:p>
      </dgm:t>
    </dgm:pt>
    <dgm:pt modelId="{9D9E8D22-2A62-4413-985F-C381C0B2869D}">
      <dgm:prSet phldrT="[Texto]"/>
      <dgm:spPr/>
      <dgm:t>
        <a:bodyPr anchor="ctr"/>
        <a:lstStyle/>
        <a:p>
          <a:pPr algn="ctr"/>
          <a:r>
            <a:rPr lang="es-NI" b="0" i="0"/>
            <a:t>permite evaluar múltiples condiciones lógicas y devolver un valor basado en la primera condición que sea verdadera</a:t>
          </a:r>
          <a:endParaRPr lang="es-NI"/>
        </a:p>
      </dgm:t>
    </dgm:pt>
    <dgm:pt modelId="{1D5792C3-EFC3-4D28-AE2A-E926099F8030}" type="parTrans" cxnId="{AF3BCF2D-1ECA-413F-A068-9BED46E8146E}">
      <dgm:prSet/>
      <dgm:spPr/>
      <dgm:t>
        <a:bodyPr/>
        <a:lstStyle/>
        <a:p>
          <a:endParaRPr lang="es-NI"/>
        </a:p>
      </dgm:t>
    </dgm:pt>
    <dgm:pt modelId="{E61F4552-D1AF-4A06-8F2B-2DEA72812643}" type="sibTrans" cxnId="{AF3BCF2D-1ECA-413F-A068-9BED46E8146E}">
      <dgm:prSet/>
      <dgm:spPr/>
      <dgm:t>
        <a:bodyPr/>
        <a:lstStyle/>
        <a:p>
          <a:endParaRPr lang="es-NI"/>
        </a:p>
      </dgm:t>
    </dgm:pt>
    <dgm:pt modelId="{2FF081F4-C243-420A-9961-EC8F3E9D4B01}">
      <dgm:prSet phldrT="[Texto]"/>
      <dgm:spPr/>
      <dgm:t>
        <a:bodyPr/>
        <a:lstStyle/>
        <a:p>
          <a:r>
            <a:rPr lang="es-NI"/>
            <a:t>SI”ANIDADO”</a:t>
          </a:r>
        </a:p>
      </dgm:t>
    </dgm:pt>
    <dgm:pt modelId="{8DAF8FB1-843A-4F43-9EE3-CCDE1759A49B}" type="parTrans" cxnId="{7DA2AA1B-CA96-4E51-9EBA-D64AD500DC94}">
      <dgm:prSet/>
      <dgm:spPr/>
      <dgm:t>
        <a:bodyPr/>
        <a:lstStyle/>
        <a:p>
          <a:endParaRPr lang="es-NI"/>
        </a:p>
      </dgm:t>
    </dgm:pt>
    <dgm:pt modelId="{CC449B7B-53C0-4389-9945-2FD784BB5268}" type="sibTrans" cxnId="{7DA2AA1B-CA96-4E51-9EBA-D64AD500DC94}">
      <dgm:prSet/>
      <dgm:spPr/>
      <dgm:t>
        <a:bodyPr/>
        <a:lstStyle/>
        <a:p>
          <a:endParaRPr lang="es-NI"/>
        </a:p>
      </dgm:t>
    </dgm:pt>
    <dgm:pt modelId="{5589D542-D65A-4EF9-AEFF-A0D7D8F0C201}">
      <dgm:prSet phldrT="[Texto]"/>
      <dgm:spPr/>
      <dgm:t>
        <a:bodyPr/>
        <a:lstStyle/>
        <a:p>
          <a:r>
            <a:rPr lang="es-NI" b="0" i="0"/>
            <a:t>sirve para realizar pruebas lógicas complejas, permitiendo evaluar múltiples condiciones y devolver diferentes resultados en función de los resultados de esas pruebas</a:t>
          </a:r>
          <a:endParaRPr lang="es-NI"/>
        </a:p>
      </dgm:t>
    </dgm:pt>
    <dgm:pt modelId="{B0F4BB00-28D8-483D-91EA-8E5D772752A6}" type="parTrans" cxnId="{80E6A57D-9780-4195-91E8-CAE357C59D9E}">
      <dgm:prSet/>
      <dgm:spPr/>
      <dgm:t>
        <a:bodyPr/>
        <a:lstStyle/>
        <a:p>
          <a:endParaRPr lang="es-NI"/>
        </a:p>
      </dgm:t>
    </dgm:pt>
    <dgm:pt modelId="{56032172-1AC8-44C2-BE6C-0FDC48709CBD}" type="sibTrans" cxnId="{80E6A57D-9780-4195-91E8-CAE357C59D9E}">
      <dgm:prSet/>
      <dgm:spPr/>
      <dgm:t>
        <a:bodyPr/>
        <a:lstStyle/>
        <a:p>
          <a:endParaRPr lang="es-NI"/>
        </a:p>
      </dgm:t>
    </dgm:pt>
    <dgm:pt modelId="{B7907830-33DE-4844-84B2-2A0C6143B1E7}">
      <dgm:prSet/>
      <dgm:spPr/>
      <dgm:t>
        <a:bodyPr anchor="ctr"/>
        <a:lstStyle/>
        <a:p>
          <a:pPr algn="ctr"/>
          <a:r>
            <a:rPr lang="es-NI" b="0" i="0"/>
            <a:t>sirve para controlar errores en fórmulas. Si una fórmula genera un error, SI.ERROR devuelve un valor que especifiques</a:t>
          </a:r>
          <a:endParaRPr lang="es-NI"/>
        </a:p>
      </dgm:t>
    </dgm:pt>
    <dgm:pt modelId="{509356D1-ADAD-4839-8539-F034330FD609}" type="parTrans" cxnId="{EEB5596D-D813-4E79-9A83-0A5E7A138A55}">
      <dgm:prSet/>
      <dgm:spPr/>
      <dgm:t>
        <a:bodyPr/>
        <a:lstStyle/>
        <a:p>
          <a:endParaRPr lang="es-NI"/>
        </a:p>
      </dgm:t>
    </dgm:pt>
    <dgm:pt modelId="{FE9135D5-7C5C-43A4-B55B-2ED985E5310C}" type="sibTrans" cxnId="{EEB5596D-D813-4E79-9A83-0A5E7A138A55}">
      <dgm:prSet/>
      <dgm:spPr/>
      <dgm:t>
        <a:bodyPr/>
        <a:lstStyle/>
        <a:p>
          <a:endParaRPr lang="es-NI"/>
        </a:p>
      </dgm:t>
    </dgm:pt>
    <dgm:pt modelId="{F5A3BF68-3B51-4F29-9F60-D35F47951CC7}" type="pres">
      <dgm:prSet presAssocID="{7889BEEF-B022-4CE4-84B9-A9A71E2376C6}" presName="Name0" presStyleCnt="0">
        <dgm:presLayoutVars>
          <dgm:dir/>
          <dgm:animLvl val="lvl"/>
          <dgm:resizeHandles val="exact"/>
        </dgm:presLayoutVars>
      </dgm:prSet>
      <dgm:spPr/>
      <dgm:t>
        <a:bodyPr/>
        <a:lstStyle/>
        <a:p>
          <a:endParaRPr lang="es-ES"/>
        </a:p>
      </dgm:t>
    </dgm:pt>
    <dgm:pt modelId="{93F7A8E0-9AB5-48D2-A4E3-E935B0354D17}" type="pres">
      <dgm:prSet presAssocID="{8E0C6CB1-C1D2-4E64-95B6-D515C83C97EC}" presName="composite" presStyleCnt="0"/>
      <dgm:spPr/>
    </dgm:pt>
    <dgm:pt modelId="{65EDBA88-55C9-4BB2-88D2-7F8D1E9CCE7B}" type="pres">
      <dgm:prSet presAssocID="{8E0C6CB1-C1D2-4E64-95B6-D515C83C97EC}" presName="parTx" presStyleLbl="alignNode1" presStyleIdx="0" presStyleCnt="3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s-ES"/>
        </a:p>
      </dgm:t>
    </dgm:pt>
    <dgm:pt modelId="{FD323338-0800-415F-877A-37B5E877D7D0}" type="pres">
      <dgm:prSet presAssocID="{8E0C6CB1-C1D2-4E64-95B6-D515C83C97EC}" presName="desTx" presStyleLbl="alignAccFollowNode1" presStyleIdx="0" presStyleCnt="3">
        <dgm:presLayoutVars>
          <dgm:bulletEnabled val="1"/>
        </dgm:presLayoutVars>
      </dgm:prSet>
      <dgm:spPr/>
      <dgm:t>
        <a:bodyPr/>
        <a:lstStyle/>
        <a:p>
          <a:endParaRPr lang="es-ES"/>
        </a:p>
      </dgm:t>
    </dgm:pt>
    <dgm:pt modelId="{D8CB0CF5-BE5B-4065-9E24-63C754D9F2F2}" type="pres">
      <dgm:prSet presAssocID="{9CDE5149-C54A-4E91-A7F4-030A74367070}" presName="space" presStyleCnt="0"/>
      <dgm:spPr/>
    </dgm:pt>
    <dgm:pt modelId="{9C652473-4F52-49AE-AE1C-BE61C4624AFC}" type="pres">
      <dgm:prSet presAssocID="{DAD62F9D-E7A4-406A-8340-4023FFC506AD}" presName="composite" presStyleCnt="0"/>
      <dgm:spPr/>
    </dgm:pt>
    <dgm:pt modelId="{1E6A7E1D-CD58-416E-BDAD-0243B7C7604E}" type="pres">
      <dgm:prSet presAssocID="{DAD62F9D-E7A4-406A-8340-4023FFC506AD}" presName="parTx" presStyleLbl="alignNode1" presStyleIdx="1" presStyleCnt="3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s-ES"/>
        </a:p>
      </dgm:t>
    </dgm:pt>
    <dgm:pt modelId="{01F4DCC4-D133-4D01-98FB-F362E3CD5255}" type="pres">
      <dgm:prSet presAssocID="{DAD62F9D-E7A4-406A-8340-4023FFC506AD}" presName="desTx" presStyleLbl="alignAccFollowNode1" presStyleIdx="1" presStyleCnt="3">
        <dgm:presLayoutVars>
          <dgm:bulletEnabled val="1"/>
        </dgm:presLayoutVars>
      </dgm:prSet>
      <dgm:spPr/>
      <dgm:t>
        <a:bodyPr/>
        <a:lstStyle/>
        <a:p>
          <a:endParaRPr lang="es-ES"/>
        </a:p>
      </dgm:t>
    </dgm:pt>
    <dgm:pt modelId="{C2696DF6-A448-4459-8CF8-BDBCA782226A}" type="pres">
      <dgm:prSet presAssocID="{076D7BBC-7E78-4AED-A315-F8ADF0A47BA9}" presName="space" presStyleCnt="0"/>
      <dgm:spPr/>
    </dgm:pt>
    <dgm:pt modelId="{7077BD4F-27BB-458B-B575-1CC6CD056058}" type="pres">
      <dgm:prSet presAssocID="{2FF081F4-C243-420A-9961-EC8F3E9D4B01}" presName="composite" presStyleCnt="0"/>
      <dgm:spPr/>
    </dgm:pt>
    <dgm:pt modelId="{86F54247-5F83-4A0F-9D53-E099DA721FCB}" type="pres">
      <dgm:prSet presAssocID="{2FF081F4-C243-420A-9961-EC8F3E9D4B01}" presName="parTx" presStyleLbl="alignNode1" presStyleIdx="2" presStyleCnt="3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s-ES"/>
        </a:p>
      </dgm:t>
    </dgm:pt>
    <dgm:pt modelId="{8796C8CD-FB3B-4770-8528-1461F8BF577C}" type="pres">
      <dgm:prSet presAssocID="{2FF081F4-C243-420A-9961-EC8F3E9D4B01}" presName="desTx" presStyleLbl="alignAccFollowNode1" presStyleIdx="2" presStyleCnt="3">
        <dgm:presLayoutVars>
          <dgm:bulletEnabled val="1"/>
        </dgm:presLayoutVars>
      </dgm:prSet>
      <dgm:spPr/>
      <dgm:t>
        <a:bodyPr/>
        <a:lstStyle/>
        <a:p>
          <a:endParaRPr lang="es-ES"/>
        </a:p>
      </dgm:t>
    </dgm:pt>
  </dgm:ptLst>
  <dgm:cxnLst>
    <dgm:cxn modelId="{3B5F5708-F785-4A08-88D2-A81B9FED5FCB}" type="presOf" srcId="{5589D542-D65A-4EF9-AEFF-A0D7D8F0C201}" destId="{8796C8CD-FB3B-4770-8528-1461F8BF577C}" srcOrd="0" destOrd="0" presId="urn:microsoft.com/office/officeart/2005/8/layout/hList1"/>
    <dgm:cxn modelId="{19426BF1-AD06-43AF-9BE5-A3C379A0EF5F}" type="presOf" srcId="{2FF081F4-C243-420A-9961-EC8F3E9D4B01}" destId="{86F54247-5F83-4A0F-9D53-E099DA721FCB}" srcOrd="0" destOrd="0" presId="urn:microsoft.com/office/officeart/2005/8/layout/hList1"/>
    <dgm:cxn modelId="{D3DF77DE-F228-4C57-95AE-62D698786A61}" srcId="{7889BEEF-B022-4CE4-84B9-A9A71E2376C6}" destId="{DAD62F9D-E7A4-406A-8340-4023FFC506AD}" srcOrd="1" destOrd="0" parTransId="{44C72176-A38B-4D6C-89EB-DA678F4F1E04}" sibTransId="{076D7BBC-7E78-4AED-A315-F8ADF0A47BA9}"/>
    <dgm:cxn modelId="{05E0BA7E-3B41-481A-BEC9-57656EA0F3B6}" type="presOf" srcId="{9D9E8D22-2A62-4413-985F-C381C0B2869D}" destId="{01F4DCC4-D133-4D01-98FB-F362E3CD5255}" srcOrd="0" destOrd="0" presId="urn:microsoft.com/office/officeart/2005/8/layout/hList1"/>
    <dgm:cxn modelId="{AA9D4BA5-5DBB-4CBA-834D-CEA8442B73FE}" type="presOf" srcId="{B7907830-33DE-4844-84B2-2A0C6143B1E7}" destId="{FD323338-0800-415F-877A-37B5E877D7D0}" srcOrd="0" destOrd="0" presId="urn:microsoft.com/office/officeart/2005/8/layout/hList1"/>
    <dgm:cxn modelId="{AF3BCF2D-1ECA-413F-A068-9BED46E8146E}" srcId="{DAD62F9D-E7A4-406A-8340-4023FFC506AD}" destId="{9D9E8D22-2A62-4413-985F-C381C0B2869D}" srcOrd="0" destOrd="0" parTransId="{1D5792C3-EFC3-4D28-AE2A-E926099F8030}" sibTransId="{E61F4552-D1AF-4A06-8F2B-2DEA72812643}"/>
    <dgm:cxn modelId="{7DA2AA1B-CA96-4E51-9EBA-D64AD500DC94}" srcId="{7889BEEF-B022-4CE4-84B9-A9A71E2376C6}" destId="{2FF081F4-C243-420A-9961-EC8F3E9D4B01}" srcOrd="2" destOrd="0" parTransId="{8DAF8FB1-843A-4F43-9EE3-CCDE1759A49B}" sibTransId="{CC449B7B-53C0-4389-9945-2FD784BB5268}"/>
    <dgm:cxn modelId="{2BB693EF-84B1-4ECA-8A8B-AFB5C7FEE465}" type="presOf" srcId="{DAD62F9D-E7A4-406A-8340-4023FFC506AD}" destId="{1E6A7E1D-CD58-416E-BDAD-0243B7C7604E}" srcOrd="0" destOrd="0" presId="urn:microsoft.com/office/officeart/2005/8/layout/hList1"/>
    <dgm:cxn modelId="{12383893-35A1-4E50-A82F-75E9EA64D54B}" type="presOf" srcId="{7889BEEF-B022-4CE4-84B9-A9A71E2376C6}" destId="{F5A3BF68-3B51-4F29-9F60-D35F47951CC7}" srcOrd="0" destOrd="0" presId="urn:microsoft.com/office/officeart/2005/8/layout/hList1"/>
    <dgm:cxn modelId="{3A82A4AC-8B63-4B2D-9E30-7D0B06DA467B}" type="presOf" srcId="{8E0C6CB1-C1D2-4E64-95B6-D515C83C97EC}" destId="{65EDBA88-55C9-4BB2-88D2-7F8D1E9CCE7B}" srcOrd="0" destOrd="0" presId="urn:microsoft.com/office/officeart/2005/8/layout/hList1"/>
    <dgm:cxn modelId="{80E6A57D-9780-4195-91E8-CAE357C59D9E}" srcId="{2FF081F4-C243-420A-9961-EC8F3E9D4B01}" destId="{5589D542-D65A-4EF9-AEFF-A0D7D8F0C201}" srcOrd="0" destOrd="0" parTransId="{B0F4BB00-28D8-483D-91EA-8E5D772752A6}" sibTransId="{56032172-1AC8-44C2-BE6C-0FDC48709CBD}"/>
    <dgm:cxn modelId="{264DFBEB-0D5C-40AD-A7B7-3BE5BDCA7001}" srcId="{7889BEEF-B022-4CE4-84B9-A9A71E2376C6}" destId="{8E0C6CB1-C1D2-4E64-95B6-D515C83C97EC}" srcOrd="0" destOrd="0" parTransId="{81076C72-181D-4A30-BF69-0AC5069FEBD6}" sibTransId="{9CDE5149-C54A-4E91-A7F4-030A74367070}"/>
    <dgm:cxn modelId="{EEB5596D-D813-4E79-9A83-0A5E7A138A55}" srcId="{8E0C6CB1-C1D2-4E64-95B6-D515C83C97EC}" destId="{B7907830-33DE-4844-84B2-2A0C6143B1E7}" srcOrd="0" destOrd="0" parTransId="{509356D1-ADAD-4839-8539-F034330FD609}" sibTransId="{FE9135D5-7C5C-43A4-B55B-2ED985E5310C}"/>
    <dgm:cxn modelId="{CAF4C7B3-1B0C-4B0D-870D-AF61ED5B9689}" type="presParOf" srcId="{F5A3BF68-3B51-4F29-9F60-D35F47951CC7}" destId="{93F7A8E0-9AB5-48D2-A4E3-E935B0354D17}" srcOrd="0" destOrd="0" presId="urn:microsoft.com/office/officeart/2005/8/layout/hList1"/>
    <dgm:cxn modelId="{3F67278F-448C-4173-8A9A-B00CC6A681E6}" type="presParOf" srcId="{93F7A8E0-9AB5-48D2-A4E3-E935B0354D17}" destId="{65EDBA88-55C9-4BB2-88D2-7F8D1E9CCE7B}" srcOrd="0" destOrd="0" presId="urn:microsoft.com/office/officeart/2005/8/layout/hList1"/>
    <dgm:cxn modelId="{D408021C-92DD-4EFE-A4FE-B0790472ADAE}" type="presParOf" srcId="{93F7A8E0-9AB5-48D2-A4E3-E935B0354D17}" destId="{FD323338-0800-415F-877A-37B5E877D7D0}" srcOrd="1" destOrd="0" presId="urn:microsoft.com/office/officeart/2005/8/layout/hList1"/>
    <dgm:cxn modelId="{58A7EB6C-B858-4056-BA2A-2BD4163F262C}" type="presParOf" srcId="{F5A3BF68-3B51-4F29-9F60-D35F47951CC7}" destId="{D8CB0CF5-BE5B-4065-9E24-63C754D9F2F2}" srcOrd="1" destOrd="0" presId="urn:microsoft.com/office/officeart/2005/8/layout/hList1"/>
    <dgm:cxn modelId="{02AEC0DF-E7B0-490C-8DD5-7D53B66B5DF0}" type="presParOf" srcId="{F5A3BF68-3B51-4F29-9F60-D35F47951CC7}" destId="{9C652473-4F52-49AE-AE1C-BE61C4624AFC}" srcOrd="2" destOrd="0" presId="urn:microsoft.com/office/officeart/2005/8/layout/hList1"/>
    <dgm:cxn modelId="{D37B52EB-DD53-4F18-A458-45527135A637}" type="presParOf" srcId="{9C652473-4F52-49AE-AE1C-BE61C4624AFC}" destId="{1E6A7E1D-CD58-416E-BDAD-0243B7C7604E}" srcOrd="0" destOrd="0" presId="urn:microsoft.com/office/officeart/2005/8/layout/hList1"/>
    <dgm:cxn modelId="{F195CD97-756D-4F9A-AE69-8AFD136B79B8}" type="presParOf" srcId="{9C652473-4F52-49AE-AE1C-BE61C4624AFC}" destId="{01F4DCC4-D133-4D01-98FB-F362E3CD5255}" srcOrd="1" destOrd="0" presId="urn:microsoft.com/office/officeart/2005/8/layout/hList1"/>
    <dgm:cxn modelId="{694DA69E-9D80-4E6B-97AC-C0C6A665EF46}" type="presParOf" srcId="{F5A3BF68-3B51-4F29-9F60-D35F47951CC7}" destId="{C2696DF6-A448-4459-8CF8-BDBCA782226A}" srcOrd="3" destOrd="0" presId="urn:microsoft.com/office/officeart/2005/8/layout/hList1"/>
    <dgm:cxn modelId="{0865681F-67E0-4B14-83DB-4E95A435046D}" type="presParOf" srcId="{F5A3BF68-3B51-4F29-9F60-D35F47951CC7}" destId="{7077BD4F-27BB-458B-B575-1CC6CD056058}" srcOrd="4" destOrd="0" presId="urn:microsoft.com/office/officeart/2005/8/layout/hList1"/>
    <dgm:cxn modelId="{03DDD752-627F-442A-BCB4-1DC1E4DF35C5}" type="presParOf" srcId="{7077BD4F-27BB-458B-B575-1CC6CD056058}" destId="{86F54247-5F83-4A0F-9D53-E099DA721FCB}" srcOrd="0" destOrd="0" presId="urn:microsoft.com/office/officeart/2005/8/layout/hList1"/>
    <dgm:cxn modelId="{C30211C2-DC74-400C-8E91-94D7AC4EB6E0}" type="presParOf" srcId="{7077BD4F-27BB-458B-B575-1CC6CD056058}" destId="{8796C8CD-FB3B-4770-8528-1461F8BF577C}" srcOrd="1" destOrd="0" presId="urn:microsoft.com/office/officeart/2005/8/layout/h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EDBA88-55C9-4BB2-88D2-7F8D1E9CCE7B}">
      <dsp:nvSpPr>
        <dsp:cNvPr id="0" name=""/>
        <dsp:cNvSpPr/>
      </dsp:nvSpPr>
      <dsp:spPr>
        <a:xfrm>
          <a:off x="1428" y="1335"/>
          <a:ext cx="1393031" cy="31680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8232" tIns="44704" rIns="78232" bIns="44704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s-NI" sz="1100" kern="1200"/>
            <a:t>=SI.ERROR()</a:t>
          </a:r>
        </a:p>
      </dsp:txBody>
      <dsp:txXfrm>
        <a:off x="1428" y="1335"/>
        <a:ext cx="1393031" cy="316800"/>
      </dsp:txXfrm>
    </dsp:sp>
    <dsp:sp modelId="{FD323338-0800-415F-877A-37B5E877D7D0}">
      <dsp:nvSpPr>
        <dsp:cNvPr id="0" name=""/>
        <dsp:cNvSpPr/>
      </dsp:nvSpPr>
      <dsp:spPr>
        <a:xfrm>
          <a:off x="1428" y="318135"/>
          <a:ext cx="1393031" cy="185699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ctr" anchorCtr="0">
          <a:noAutofit/>
        </a:bodyPr>
        <a:lstStyle/>
        <a:p>
          <a:pPr marL="57150" lvl="1" indent="-57150" algn="ctr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s-NI" sz="1100" b="0" i="0" kern="1200"/>
            <a:t>sirve para controlar errores en fórmulas. Si una fórmula genera un error, SI.ERROR devuelve un valor que especifiques</a:t>
          </a:r>
          <a:endParaRPr lang="es-NI" sz="1100" kern="1200"/>
        </a:p>
      </dsp:txBody>
      <dsp:txXfrm>
        <a:off x="1428" y="318135"/>
        <a:ext cx="1393031" cy="1856992"/>
      </dsp:txXfrm>
    </dsp:sp>
    <dsp:sp modelId="{1E6A7E1D-CD58-416E-BDAD-0243B7C7604E}">
      <dsp:nvSpPr>
        <dsp:cNvPr id="0" name=""/>
        <dsp:cNvSpPr/>
      </dsp:nvSpPr>
      <dsp:spPr>
        <a:xfrm>
          <a:off x="1589484" y="1335"/>
          <a:ext cx="1393031" cy="31680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8232" tIns="44704" rIns="78232" bIns="44704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s-NI" sz="1100" kern="1200"/>
            <a:t>=SI.CONJUNTO</a:t>
          </a:r>
        </a:p>
      </dsp:txBody>
      <dsp:txXfrm>
        <a:off x="1589484" y="1335"/>
        <a:ext cx="1393031" cy="316800"/>
      </dsp:txXfrm>
    </dsp:sp>
    <dsp:sp modelId="{01F4DCC4-D133-4D01-98FB-F362E3CD5255}">
      <dsp:nvSpPr>
        <dsp:cNvPr id="0" name=""/>
        <dsp:cNvSpPr/>
      </dsp:nvSpPr>
      <dsp:spPr>
        <a:xfrm>
          <a:off x="1589484" y="318135"/>
          <a:ext cx="1393031" cy="185699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ctr" anchorCtr="0">
          <a:noAutofit/>
        </a:bodyPr>
        <a:lstStyle/>
        <a:p>
          <a:pPr marL="57150" lvl="1" indent="-57150" algn="ctr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s-NI" sz="1100" b="0" i="0" kern="1200"/>
            <a:t>permite evaluar múltiples condiciones lógicas y devolver un valor basado en la primera condición que sea verdadera</a:t>
          </a:r>
          <a:endParaRPr lang="es-NI" sz="1100" kern="1200"/>
        </a:p>
      </dsp:txBody>
      <dsp:txXfrm>
        <a:off x="1589484" y="318135"/>
        <a:ext cx="1393031" cy="1856992"/>
      </dsp:txXfrm>
    </dsp:sp>
    <dsp:sp modelId="{86F54247-5F83-4A0F-9D53-E099DA721FCB}">
      <dsp:nvSpPr>
        <dsp:cNvPr id="0" name=""/>
        <dsp:cNvSpPr/>
      </dsp:nvSpPr>
      <dsp:spPr>
        <a:xfrm>
          <a:off x="3177540" y="1335"/>
          <a:ext cx="1393031" cy="31680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8232" tIns="44704" rIns="78232" bIns="44704" numCol="1" spcCol="1270" anchor="ctr" anchorCtr="0">
          <a:noAutofit/>
        </a:bodyPr>
        <a:lstStyle/>
        <a:p>
          <a:pPr lvl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s-NI" sz="1100" kern="1200"/>
            <a:t>SI”ANIDADO”</a:t>
          </a:r>
        </a:p>
      </dsp:txBody>
      <dsp:txXfrm>
        <a:off x="3177540" y="1335"/>
        <a:ext cx="1393031" cy="316800"/>
      </dsp:txXfrm>
    </dsp:sp>
    <dsp:sp modelId="{8796C8CD-FB3B-4770-8528-1461F8BF577C}">
      <dsp:nvSpPr>
        <dsp:cNvPr id="0" name=""/>
        <dsp:cNvSpPr/>
      </dsp:nvSpPr>
      <dsp:spPr>
        <a:xfrm>
          <a:off x="3177540" y="318135"/>
          <a:ext cx="1393031" cy="1856992"/>
        </a:xfrm>
        <a:prstGeom prst="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8674" tIns="58674" rIns="78232" bIns="88011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s-NI" sz="1100" b="0" i="0" kern="1200"/>
            <a:t>sirve para realizar pruebas lógicas complejas, permitiendo evaluar múltiples condiciones y devolver diferentes resultados en función de los resultados de esas pruebas</a:t>
          </a:r>
          <a:endParaRPr lang="es-NI" sz="1100" kern="1200"/>
        </a:p>
      </dsp:txBody>
      <dsp:txXfrm>
        <a:off x="3177540" y="318135"/>
        <a:ext cx="1393031" cy="185699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1">
  <dgm:title val=""/>
  <dgm:desc val=""/>
  <dgm:catLst>
    <dgm:cat type="list" pri="5000"/>
    <dgm:cat type="convert" pri="5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composite" refType="h"/>
      <dgm:constr type="w" for="ch" forName="composite" refType="w"/>
      <dgm:constr type="w" for="des" forName="parTx"/>
      <dgm:constr type="h" for="des" forName="parTx" op="equ"/>
      <dgm:constr type="w" for="des" forName="desTx"/>
      <dgm:constr type="h" for="des" forName="desTx" op="equ"/>
      <dgm:constr type="primFontSz" for="des" forName="parTx" val="65"/>
      <dgm:constr type="secFontSz" for="des" forName="desTx" refType="primFontSz" refFor="des" refForName="parTx" op="equ"/>
      <dgm:constr type="h" for="des" forName="parTx" refType="primFontSz" refFor="des" refForName="parTx" fact="0.8"/>
      <dgm:constr type="h" for="des" forName="desTx" refType="primFontSz" refFor="des" refForName="parTx" fact="1.22"/>
      <dgm:constr type="w" for="ch" forName="space" refType="w" refFor="ch" refForName="composite" op="equ" fact="0.14"/>
    </dgm:constrLst>
    <dgm:ruleLst>
      <dgm:rule type="w" for="ch" forName="composite" val="0" fact="NaN" max="NaN"/>
      <dgm:rule type="primFontSz" for="des" forName="parTx" val="5" fact="NaN" max="NaN"/>
    </dgm:ruleLst>
    <dgm:forEach name="Name4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onstrLst>
          <dgm:constr type="l" for="ch" forName="parTx"/>
          <dgm:constr type="w" for="ch" forName="parTx" refType="w"/>
          <dgm:constr type="t" for="ch" forName="parTx"/>
          <dgm:constr type="l" for="ch" forName="desTx"/>
          <dgm:constr type="w" for="ch" forName="desTx" refType="w" refFor="ch" refForName="parTx"/>
          <dgm:constr type="t" for="ch" forName="desTx" refType="h" refFor="ch" refForName="parTx"/>
        </dgm:constrLst>
        <dgm:ruleLst>
          <dgm:rule type="h" val="INF" fact="NaN" max="NaN"/>
        </dgm:ruleLst>
        <dgm:layoutNode name="parTx" styleLbl="alignNode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self" ptType="node"/>
          <dgm:constrLst>
            <dgm:constr type="h" refType="w" op="lte" fact="0.4"/>
            <dgm:constr type="h"/>
            <dgm:constr type="tMarg" refType="primFontSz" fact="0.32"/>
            <dgm:constr type="bMarg" refType="primFontSz" fact="0.32"/>
          </dgm:constrLst>
          <dgm:ruleLst>
            <dgm:rule type="h" val="INF" fact="NaN" max="NaN"/>
          </dgm:ruleLst>
        </dgm:layoutNode>
        <dgm:layoutNode name="desTx" styleLbl="alignAccFollowNode1">
          <dgm:varLst>
            <dgm:bulletEnabled val="1"/>
          </dgm:varLst>
          <dgm:alg type="tx">
            <dgm:param type="stBulletLvl" val="1"/>
          </dgm:alg>
          <dgm:shape xmlns:r="http://schemas.openxmlformats.org/officeDocument/2006/relationships" type="rect" r:blip="">
            <dgm:adjLst/>
          </dgm:shape>
          <dgm:presOf axis="des" ptType="node"/>
          <dgm:constrLst>
            <dgm:constr type="secFontSz" val="65"/>
            <dgm:constr type="primFontSz" refType="secFontSz"/>
            <dgm:constr type="h"/>
            <dgm:constr type="lMarg" refType="primFontSz" fact="0.42"/>
            <dgm:constr type="tMarg" refType="primFontSz" fact="0.42"/>
            <dgm:constr type="bMarg" refType="primFontSz" fact="0.63"/>
          </dgm:constrLst>
          <dgm:ruleLst>
            <dgm:rule type="h" val="INF" fact="NaN" max="NaN"/>
          </dgm:ruleLst>
        </dgm:layoutNode>
      </dgm:layoutNode>
      <dgm:forEach name="Name5" axis="followSib" ptType="sibTrans" cnt="1">
        <dgm:layoutNode name="space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3</xdr:row>
      <xdr:rowOff>19050</xdr:rowOff>
    </xdr:from>
    <xdr:to>
      <xdr:col>10</xdr:col>
      <xdr:colOff>381000</xdr:colOff>
      <xdr:row>7</xdr:row>
      <xdr:rowOff>47626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4A32EE9-214B-4B8F-A2AA-FD1286D7E1FE}"/>
            </a:ext>
          </a:extLst>
        </xdr:cNvPr>
        <xdr:cNvSpPr txBox="1"/>
      </xdr:nvSpPr>
      <xdr:spPr>
        <a:xfrm>
          <a:off x="4229100" y="790575"/>
          <a:ext cx="3771900" cy="79057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funciones avanzadas en Excel son herramientas poderosas que te permiten realizar análisis complejos, gestionar grandes volúmenes de datos y automatizar tareas repetitivas</a:t>
          </a:r>
          <a:r>
            <a:rPr lang="es-NI">
              <a:effectLst/>
            </a:rPr>
            <a:t> </a:t>
          </a:r>
          <a:endParaRPr lang="es-NI" sz="1100"/>
        </a:p>
      </xdr:txBody>
    </xdr:sp>
    <xdr:clientData/>
  </xdr:twoCellAnchor>
  <xdr:twoCellAnchor>
    <xdr:from>
      <xdr:col>4</xdr:col>
      <xdr:colOff>704850</xdr:colOff>
      <xdr:row>9</xdr:row>
      <xdr:rowOff>90487</xdr:rowOff>
    </xdr:from>
    <xdr:to>
      <xdr:col>10</xdr:col>
      <xdr:colOff>704850</xdr:colOff>
      <xdr:row>20</xdr:row>
      <xdr:rowOff>171450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133D3714-DA78-4D0F-B7B6-8612EED4F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3</xdr:col>
      <xdr:colOff>590550</xdr:colOff>
      <xdr:row>4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0FD8F7C-31AC-44EF-B0C1-1A0B079F3545}"/>
            </a:ext>
          </a:extLst>
        </xdr:cNvPr>
        <xdr:cNvSpPr txBox="1"/>
      </xdr:nvSpPr>
      <xdr:spPr>
        <a:xfrm>
          <a:off x="9525" y="0"/>
          <a:ext cx="2867025" cy="9429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NI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</a:t>
          </a:r>
          <a:r>
            <a:rPr lang="es-NI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FUNCION </a:t>
          </a:r>
          <a:r>
            <a:rPr lang="es-NI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COINCIDIR busca un elemento determinado en un intervalo de celdas y después devuelve la posición relativa de dicho elemento en el rango</a:t>
          </a:r>
          <a:r>
            <a:rPr lang="es-NI" b="1">
              <a:effectLst/>
            </a:rPr>
            <a:t> </a:t>
          </a:r>
          <a:endParaRPr lang="es-NI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2</xdr:col>
      <xdr:colOff>485775</xdr:colOff>
      <xdr:row>2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1ACB5DB-D86A-46B6-AB21-D1CF64F23295}"/>
            </a:ext>
          </a:extLst>
        </xdr:cNvPr>
        <xdr:cNvSpPr txBox="1"/>
      </xdr:nvSpPr>
      <xdr:spPr>
        <a:xfrm>
          <a:off x="28575" y="28575"/>
          <a:ext cx="1971675" cy="533400"/>
        </a:xfrm>
        <a:prstGeom prst="rect">
          <a:avLst/>
        </a:prstGeom>
        <a:ln/>
        <a:effectLst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s-NI" sz="1100" b="1"/>
            <a:t>Consolida en una tabla las ventas del año 2022 al 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Excel\Excel%20avanzado\Primera%20clase%20excel%20Avanzado.xlsx" TargetMode="External"/><Relationship Id="rId2" Type="http://schemas.openxmlformats.org/officeDocument/2006/relationships/externalLinkPath" Target="file:///E:\Excel\Excel%20avanzado\Primera%20clase%20excel%20Avanzado.xlsx" TargetMode="External"/><Relationship Id="rId1" Type="http://schemas.openxmlformats.org/officeDocument/2006/relationships/externalLinkPath" Target="file:///E:\Excel\Excel%20avanzado\Primera%20clase%20excel%20Avanzado.xlsx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externalLinkPath" Target="file:///E:\Excel\Excel%20avanzado\Primera%20clase%20excel%20Avanzado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E:\Excel\Excel%20avanzado\Primera%20clase%20excel%20Avanzado.xlsx" TargetMode="External"/><Relationship Id="rId2" Type="http://schemas.openxmlformats.org/officeDocument/2006/relationships/externalLinkPath" Target="file:///E:\Excel\Excel%20avanzado\Primera%20clase%20excel%20Avanzado.xlsx" TargetMode="External"/><Relationship Id="rId1" Type="http://schemas.openxmlformats.org/officeDocument/2006/relationships/externalLinkPath" Target="file:///E:\Excel\Excel%20avanzado\Primera%20clase%20excel%20Avanzado.xlsx" TargetMode="External"/><Relationship Id="rId4" Type="http://schemas.openxmlformats.org/officeDocument/2006/relationships/externalLinkPath" Target="file:///E:\Excel\Excel%20avanzado\Primera%20clase%20excel%20Avanzad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showGridLines="0" topLeftCell="B1" zoomScale="190" zoomScaleNormal="190" workbookViewId="0">
      <selection activeCell="M14" sqref="M14"/>
    </sheetView>
  </sheetViews>
  <sheetFormatPr baseColWidth="10" defaultRowHeight="15" x14ac:dyDescent="0.25"/>
  <sheetData>
    <row r="2" spans="1:7" ht="15.75" x14ac:dyDescent="0.25">
      <c r="A2" s="71" t="s">
        <v>301</v>
      </c>
      <c r="B2" s="71"/>
      <c r="C2" s="71"/>
      <c r="D2" s="71"/>
      <c r="G2" s="25" t="s">
        <v>302</v>
      </c>
    </row>
    <row r="3" spans="1:7" x14ac:dyDescent="0.25">
      <c r="A3" s="71"/>
      <c r="B3" s="71"/>
      <c r="C3" s="71"/>
      <c r="D3" s="71"/>
    </row>
    <row r="6" spans="1:7" x14ac:dyDescent="0.25">
      <c r="A6" s="24"/>
    </row>
    <row r="7" spans="1:7" x14ac:dyDescent="0.25">
      <c r="A7" s="24"/>
    </row>
    <row r="8" spans="1:7" x14ac:dyDescent="0.25">
      <c r="A8" s="24"/>
    </row>
    <row r="9" spans="1:7" x14ac:dyDescent="0.25">
      <c r="A9" s="24"/>
      <c r="G9" s="26" t="s">
        <v>303</v>
      </c>
    </row>
    <row r="10" spans="1:7" x14ac:dyDescent="0.25">
      <c r="A10" s="24"/>
    </row>
    <row r="11" spans="1:7" x14ac:dyDescent="0.25">
      <c r="A11" s="24"/>
    </row>
    <row r="12" spans="1:7" x14ac:dyDescent="0.25">
      <c r="A12" s="24"/>
    </row>
    <row r="13" spans="1:7" x14ac:dyDescent="0.25">
      <c r="A13" s="24"/>
    </row>
  </sheetData>
  <mergeCells count="1">
    <mergeCell ref="A2:D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0:N77"/>
  <sheetViews>
    <sheetView showGridLines="0" tabSelected="1" topLeftCell="C5" zoomScale="150" zoomScaleNormal="150" workbookViewId="0">
      <selection activeCell="H9" sqref="H9"/>
    </sheetView>
  </sheetViews>
  <sheetFormatPr baseColWidth="10" defaultRowHeight="15" x14ac:dyDescent="0.25"/>
  <cols>
    <col min="4" max="4" width="13.7109375" customWidth="1"/>
    <col min="5" max="5" width="24" customWidth="1"/>
    <col min="7" max="7" width="18.28515625" bestFit="1" customWidth="1"/>
    <col min="11" max="11" width="14.140625" bestFit="1" customWidth="1"/>
    <col min="13" max="13" width="11.7109375" bestFit="1" customWidth="1"/>
  </cols>
  <sheetData>
    <row r="10" spans="4:5" ht="30" x14ac:dyDescent="0.25">
      <c r="D10" s="3" t="s">
        <v>3</v>
      </c>
      <c r="E10" s="2" t="s">
        <v>14</v>
      </c>
    </row>
    <row r="11" spans="4:5" ht="30" x14ac:dyDescent="0.25">
      <c r="D11" s="3" t="s">
        <v>4</v>
      </c>
      <c r="E11" s="23"/>
    </row>
    <row r="12" spans="4:5" x14ac:dyDescent="0.25">
      <c r="D12" s="4" t="s">
        <v>10</v>
      </c>
      <c r="E12" s="23"/>
    </row>
    <row r="13" spans="4:5" x14ac:dyDescent="0.25">
      <c r="D13" s="4" t="s">
        <v>11</v>
      </c>
      <c r="E13" s="23"/>
    </row>
    <row r="17" spans="4:14" ht="30" x14ac:dyDescent="0.25">
      <c r="D17" s="3" t="s">
        <v>3</v>
      </c>
      <c r="E17" s="3" t="s">
        <v>4</v>
      </c>
      <c r="F17" s="3" t="s">
        <v>5</v>
      </c>
      <c r="G17" s="4" t="s">
        <v>6</v>
      </c>
      <c r="H17" s="4" t="s">
        <v>7</v>
      </c>
      <c r="I17" s="4" t="s">
        <v>8</v>
      </c>
      <c r="J17" s="4" t="s">
        <v>9</v>
      </c>
      <c r="K17" s="4" t="s">
        <v>10</v>
      </c>
      <c r="L17" s="4" t="s">
        <v>11</v>
      </c>
      <c r="M17" s="4" t="s">
        <v>12</v>
      </c>
      <c r="N17" s="3" t="s">
        <v>13</v>
      </c>
    </row>
    <row r="18" spans="4:14" x14ac:dyDescent="0.25">
      <c r="D18" s="2" t="s">
        <v>14</v>
      </c>
      <c r="E18" s="2" t="s">
        <v>15</v>
      </c>
      <c r="F18" s="5">
        <v>44382</v>
      </c>
      <c r="G18" s="2" t="s">
        <v>16</v>
      </c>
      <c r="H18" s="2" t="s">
        <v>17</v>
      </c>
      <c r="I18" s="2" t="s">
        <v>299</v>
      </c>
      <c r="J18" s="2" t="s">
        <v>18</v>
      </c>
      <c r="K18" s="2" t="s">
        <v>19</v>
      </c>
      <c r="L18" s="2" t="s">
        <v>20</v>
      </c>
      <c r="M18" s="37">
        <v>2500</v>
      </c>
      <c r="N18" s="2" t="s">
        <v>21</v>
      </c>
    </row>
    <row r="19" spans="4:14" x14ac:dyDescent="0.25">
      <c r="D19" s="2" t="s">
        <v>22</v>
      </c>
      <c r="E19" s="2" t="s">
        <v>23</v>
      </c>
      <c r="F19" s="5">
        <v>44062</v>
      </c>
      <c r="G19" s="2" t="s">
        <v>16</v>
      </c>
      <c r="H19" s="2" t="s">
        <v>17</v>
      </c>
      <c r="I19" s="2" t="s">
        <v>299</v>
      </c>
      <c r="J19" s="2" t="s">
        <v>24</v>
      </c>
      <c r="K19" s="2" t="s">
        <v>25</v>
      </c>
      <c r="L19" s="2" t="s">
        <v>26</v>
      </c>
      <c r="M19" s="37">
        <v>2500</v>
      </c>
      <c r="N19" s="2" t="s">
        <v>27</v>
      </c>
    </row>
    <row r="20" spans="4:14" x14ac:dyDescent="0.25">
      <c r="D20" s="2" t="s">
        <v>28</v>
      </c>
      <c r="E20" s="2" t="s">
        <v>29</v>
      </c>
      <c r="F20" s="5">
        <v>45659</v>
      </c>
      <c r="G20" s="2" t="s">
        <v>16</v>
      </c>
      <c r="H20" s="2" t="s">
        <v>30</v>
      </c>
      <c r="I20" s="2" t="s">
        <v>299</v>
      </c>
      <c r="J20" s="2" t="s">
        <v>31</v>
      </c>
      <c r="K20" s="2" t="s">
        <v>32</v>
      </c>
      <c r="L20" s="2" t="s">
        <v>20</v>
      </c>
      <c r="M20" s="37">
        <v>1500</v>
      </c>
      <c r="N20" s="2" t="s">
        <v>33</v>
      </c>
    </row>
    <row r="21" spans="4:14" x14ac:dyDescent="0.25">
      <c r="D21" s="2" t="s">
        <v>34</v>
      </c>
      <c r="E21" s="2" t="s">
        <v>35</v>
      </c>
      <c r="F21" s="5">
        <v>44373</v>
      </c>
      <c r="G21" s="2" t="s">
        <v>36</v>
      </c>
      <c r="H21" s="2" t="s">
        <v>17</v>
      </c>
      <c r="I21" s="2" t="s">
        <v>299</v>
      </c>
      <c r="J21" s="2" t="s">
        <v>37</v>
      </c>
      <c r="K21" s="2" t="s">
        <v>32</v>
      </c>
      <c r="L21" s="2" t="s">
        <v>20</v>
      </c>
      <c r="M21" s="37">
        <v>1500</v>
      </c>
      <c r="N21" s="2" t="s">
        <v>38</v>
      </c>
    </row>
    <row r="22" spans="4:14" x14ac:dyDescent="0.25">
      <c r="D22" s="2" t="s">
        <v>39</v>
      </c>
      <c r="E22" s="2" t="s">
        <v>40</v>
      </c>
      <c r="F22" s="5">
        <v>45013</v>
      </c>
      <c r="G22" s="2" t="s">
        <v>41</v>
      </c>
      <c r="H22" s="2" t="s">
        <v>17</v>
      </c>
      <c r="I22" s="2" t="s">
        <v>42</v>
      </c>
      <c r="J22" s="2" t="s">
        <v>43</v>
      </c>
      <c r="K22" s="2" t="s">
        <v>25</v>
      </c>
      <c r="L22" s="2" t="s">
        <v>20</v>
      </c>
      <c r="M22" s="37">
        <v>2500</v>
      </c>
      <c r="N22" s="2" t="s">
        <v>44</v>
      </c>
    </row>
    <row r="23" spans="4:14" x14ac:dyDescent="0.25">
      <c r="D23" s="2" t="s">
        <v>45</v>
      </c>
      <c r="E23" s="2" t="s">
        <v>46</v>
      </c>
      <c r="F23" s="5">
        <v>43965</v>
      </c>
      <c r="G23" s="2" t="s">
        <v>41</v>
      </c>
      <c r="H23" s="2" t="s">
        <v>30</v>
      </c>
      <c r="I23" s="2" t="s">
        <v>299</v>
      </c>
      <c r="J23" s="2" t="s">
        <v>47</v>
      </c>
      <c r="K23" s="2" t="s">
        <v>19</v>
      </c>
      <c r="L23" s="2" t="s">
        <v>26</v>
      </c>
      <c r="M23" s="37">
        <v>2500</v>
      </c>
      <c r="N23" s="2" t="s">
        <v>48</v>
      </c>
    </row>
    <row r="24" spans="4:14" x14ac:dyDescent="0.25">
      <c r="D24" s="2" t="s">
        <v>49</v>
      </c>
      <c r="E24" s="2" t="s">
        <v>50</v>
      </c>
      <c r="F24" s="5">
        <v>44610</v>
      </c>
      <c r="G24" s="2" t="s">
        <v>41</v>
      </c>
      <c r="H24" s="2" t="s">
        <v>17</v>
      </c>
      <c r="I24" s="2" t="s">
        <v>299</v>
      </c>
      <c r="J24" s="2" t="s">
        <v>51</v>
      </c>
      <c r="K24" s="2" t="s">
        <v>52</v>
      </c>
      <c r="L24" s="2" t="s">
        <v>26</v>
      </c>
      <c r="M24" s="37">
        <v>3000</v>
      </c>
      <c r="N24" s="2" t="s">
        <v>53</v>
      </c>
    </row>
    <row r="25" spans="4:14" x14ac:dyDescent="0.25">
      <c r="D25" s="2" t="s">
        <v>54</v>
      </c>
      <c r="E25" s="2" t="s">
        <v>55</v>
      </c>
      <c r="F25" s="5">
        <v>45099</v>
      </c>
      <c r="G25" s="2" t="s">
        <v>36</v>
      </c>
      <c r="H25" s="2" t="s">
        <v>30</v>
      </c>
      <c r="I25" s="2" t="s">
        <v>299</v>
      </c>
      <c r="J25" s="2" t="s">
        <v>56</v>
      </c>
      <c r="K25" s="2" t="s">
        <v>57</v>
      </c>
      <c r="L25" s="2" t="s">
        <v>20</v>
      </c>
      <c r="M25" s="37">
        <v>1500</v>
      </c>
      <c r="N25" s="2" t="s">
        <v>58</v>
      </c>
    </row>
    <row r="26" spans="4:14" x14ac:dyDescent="0.25">
      <c r="D26" s="2" t="s">
        <v>59</v>
      </c>
      <c r="E26" s="2" t="s">
        <v>60</v>
      </c>
      <c r="F26" s="5">
        <v>44762</v>
      </c>
      <c r="G26" s="2" t="s">
        <v>36</v>
      </c>
      <c r="H26" s="2" t="s">
        <v>17</v>
      </c>
      <c r="I26" s="2" t="s">
        <v>299</v>
      </c>
      <c r="J26" s="2" t="s">
        <v>61</v>
      </c>
      <c r="K26" s="2" t="s">
        <v>25</v>
      </c>
      <c r="L26" s="2" t="s">
        <v>26</v>
      </c>
      <c r="M26" s="37">
        <v>1500</v>
      </c>
      <c r="N26" s="2" t="s">
        <v>62</v>
      </c>
    </row>
    <row r="27" spans="4:14" x14ac:dyDescent="0.25">
      <c r="D27" s="2" t="s">
        <v>63</v>
      </c>
      <c r="E27" s="2" t="s">
        <v>64</v>
      </c>
      <c r="F27" s="5">
        <v>44279</v>
      </c>
      <c r="G27" s="2" t="s">
        <v>16</v>
      </c>
      <c r="H27" s="2" t="s">
        <v>30</v>
      </c>
      <c r="I27" s="2" t="s">
        <v>299</v>
      </c>
      <c r="J27" s="2" t="s">
        <v>65</v>
      </c>
      <c r="K27" s="2" t="s">
        <v>19</v>
      </c>
      <c r="L27" s="2" t="s">
        <v>26</v>
      </c>
      <c r="M27" s="37">
        <v>2500</v>
      </c>
      <c r="N27" s="2" t="s">
        <v>66</v>
      </c>
    </row>
    <row r="28" spans="4:14" x14ac:dyDescent="0.25">
      <c r="D28" s="2" t="s">
        <v>67</v>
      </c>
      <c r="E28" s="2" t="s">
        <v>68</v>
      </c>
      <c r="F28" s="5">
        <v>44592</v>
      </c>
      <c r="G28" s="2" t="s">
        <v>16</v>
      </c>
      <c r="H28" s="2" t="s">
        <v>30</v>
      </c>
      <c r="I28" s="2" t="s">
        <v>299</v>
      </c>
      <c r="J28" s="2" t="s">
        <v>69</v>
      </c>
      <c r="K28" s="2" t="s">
        <v>70</v>
      </c>
      <c r="L28" s="2" t="s">
        <v>26</v>
      </c>
      <c r="M28" s="37">
        <v>1500</v>
      </c>
      <c r="N28" s="2" t="s">
        <v>71</v>
      </c>
    </row>
    <row r="29" spans="4:14" x14ac:dyDescent="0.25">
      <c r="D29" s="2" t="s">
        <v>72</v>
      </c>
      <c r="E29" s="2" t="s">
        <v>73</v>
      </c>
      <c r="F29" s="5">
        <v>44863</v>
      </c>
      <c r="G29" s="2" t="s">
        <v>41</v>
      </c>
      <c r="H29" s="2" t="s">
        <v>30</v>
      </c>
      <c r="I29" s="2" t="s">
        <v>42</v>
      </c>
      <c r="J29" s="2" t="s">
        <v>74</v>
      </c>
      <c r="K29" s="2" t="s">
        <v>52</v>
      </c>
      <c r="L29" s="2" t="s">
        <v>26</v>
      </c>
      <c r="M29" s="37">
        <v>2500</v>
      </c>
      <c r="N29" s="2" t="s">
        <v>75</v>
      </c>
    </row>
    <row r="30" spans="4:14" x14ac:dyDescent="0.25">
      <c r="D30" s="2" t="s">
        <v>76</v>
      </c>
      <c r="E30" s="2" t="s">
        <v>77</v>
      </c>
      <c r="F30" s="5">
        <v>45380</v>
      </c>
      <c r="G30" s="2" t="s">
        <v>36</v>
      </c>
      <c r="H30" s="2" t="s">
        <v>30</v>
      </c>
      <c r="I30" s="2" t="s">
        <v>42</v>
      </c>
      <c r="J30" s="2" t="s">
        <v>78</v>
      </c>
      <c r="K30" s="2" t="s">
        <v>32</v>
      </c>
      <c r="L30" s="2" t="s">
        <v>79</v>
      </c>
      <c r="M30" s="37">
        <v>3000</v>
      </c>
      <c r="N30" s="2" t="s">
        <v>80</v>
      </c>
    </row>
    <row r="31" spans="4:14" x14ac:dyDescent="0.25">
      <c r="D31" s="2" t="s">
        <v>81</v>
      </c>
      <c r="E31" s="2" t="s">
        <v>82</v>
      </c>
      <c r="F31" s="5">
        <v>45503</v>
      </c>
      <c r="G31" s="2" t="s">
        <v>41</v>
      </c>
      <c r="H31" s="2" t="s">
        <v>17</v>
      </c>
      <c r="I31" s="2" t="s">
        <v>42</v>
      </c>
      <c r="J31" s="2" t="s">
        <v>83</v>
      </c>
      <c r="K31" s="2" t="s">
        <v>70</v>
      </c>
      <c r="L31" s="2" t="s">
        <v>26</v>
      </c>
      <c r="M31" s="37">
        <v>1500</v>
      </c>
      <c r="N31" s="2" t="s">
        <v>84</v>
      </c>
    </row>
    <row r="32" spans="4:14" x14ac:dyDescent="0.25">
      <c r="D32" s="2" t="s">
        <v>85</v>
      </c>
      <c r="E32" s="2" t="s">
        <v>86</v>
      </c>
      <c r="F32" s="5">
        <v>45688</v>
      </c>
      <c r="G32" s="2" t="s">
        <v>36</v>
      </c>
      <c r="H32" s="2" t="s">
        <v>30</v>
      </c>
      <c r="I32" s="2" t="s">
        <v>42</v>
      </c>
      <c r="J32" s="2" t="s">
        <v>87</v>
      </c>
      <c r="K32" s="2" t="s">
        <v>70</v>
      </c>
      <c r="L32" s="2" t="s">
        <v>20</v>
      </c>
      <c r="M32" s="37">
        <v>3000</v>
      </c>
      <c r="N32" s="2" t="s">
        <v>88</v>
      </c>
    </row>
    <row r="33" spans="4:14" x14ac:dyDescent="0.25">
      <c r="D33" s="2" t="s">
        <v>89</v>
      </c>
      <c r="E33" s="2" t="s">
        <v>90</v>
      </c>
      <c r="F33" s="5">
        <v>44858</v>
      </c>
      <c r="G33" s="2" t="s">
        <v>36</v>
      </c>
      <c r="H33" s="2" t="s">
        <v>30</v>
      </c>
      <c r="I33" s="2" t="s">
        <v>42</v>
      </c>
      <c r="J33" s="2" t="s">
        <v>91</v>
      </c>
      <c r="K33" s="2" t="s">
        <v>52</v>
      </c>
      <c r="L33" s="2" t="s">
        <v>20</v>
      </c>
      <c r="M33" s="37">
        <v>3000</v>
      </c>
      <c r="N33" s="2" t="s">
        <v>92</v>
      </c>
    </row>
    <row r="34" spans="4:14" x14ac:dyDescent="0.25">
      <c r="D34" s="2" t="s">
        <v>93</v>
      </c>
      <c r="E34" s="2" t="s">
        <v>94</v>
      </c>
      <c r="F34" s="5">
        <v>44175</v>
      </c>
      <c r="G34" s="2" t="s">
        <v>41</v>
      </c>
      <c r="H34" s="2" t="s">
        <v>17</v>
      </c>
      <c r="I34" s="2" t="s">
        <v>42</v>
      </c>
      <c r="J34" s="2" t="s">
        <v>95</v>
      </c>
      <c r="K34" s="2" t="s">
        <v>32</v>
      </c>
      <c r="L34" s="2" t="s">
        <v>26</v>
      </c>
      <c r="M34" s="37">
        <v>2500</v>
      </c>
      <c r="N34" s="2" t="s">
        <v>96</v>
      </c>
    </row>
    <row r="35" spans="4:14" x14ac:dyDescent="0.25">
      <c r="D35" s="2" t="s">
        <v>97</v>
      </c>
      <c r="E35" s="2" t="s">
        <v>98</v>
      </c>
      <c r="F35" s="5">
        <v>44030</v>
      </c>
      <c r="G35" s="2" t="s">
        <v>41</v>
      </c>
      <c r="H35" s="2" t="s">
        <v>17</v>
      </c>
      <c r="I35" s="2" t="s">
        <v>299</v>
      </c>
      <c r="J35" s="2" t="s">
        <v>99</v>
      </c>
      <c r="K35" s="2" t="s">
        <v>25</v>
      </c>
      <c r="L35" s="2" t="s">
        <v>20</v>
      </c>
      <c r="M35" s="37">
        <v>3000</v>
      </c>
      <c r="N35" s="2" t="s">
        <v>100</v>
      </c>
    </row>
    <row r="36" spans="4:14" x14ac:dyDescent="0.25">
      <c r="D36" s="2" t="s">
        <v>101</v>
      </c>
      <c r="E36" s="2" t="s">
        <v>102</v>
      </c>
      <c r="F36" s="5">
        <v>44199</v>
      </c>
      <c r="G36" s="2" t="s">
        <v>41</v>
      </c>
      <c r="H36" s="2" t="s">
        <v>30</v>
      </c>
      <c r="I36" s="2" t="s">
        <v>299</v>
      </c>
      <c r="J36" s="2" t="s">
        <v>103</v>
      </c>
      <c r="K36" s="2" t="s">
        <v>19</v>
      </c>
      <c r="L36" s="2" t="s">
        <v>79</v>
      </c>
      <c r="M36" s="37">
        <v>2500</v>
      </c>
      <c r="N36" s="2" t="s">
        <v>104</v>
      </c>
    </row>
    <row r="37" spans="4:14" x14ac:dyDescent="0.25">
      <c r="D37" s="2" t="s">
        <v>105</v>
      </c>
      <c r="E37" s="2" t="s">
        <v>106</v>
      </c>
      <c r="F37" s="5">
        <v>44241</v>
      </c>
      <c r="G37" s="2" t="s">
        <v>36</v>
      </c>
      <c r="H37" s="2" t="s">
        <v>17</v>
      </c>
      <c r="I37" s="2" t="s">
        <v>42</v>
      </c>
      <c r="J37" s="2" t="s">
        <v>107</v>
      </c>
      <c r="K37" s="2" t="s">
        <v>25</v>
      </c>
      <c r="L37" s="2" t="s">
        <v>20</v>
      </c>
      <c r="M37" s="37">
        <v>1500</v>
      </c>
      <c r="N37" s="2" t="s">
        <v>108</v>
      </c>
    </row>
    <row r="38" spans="4:14" x14ac:dyDescent="0.25">
      <c r="D38" s="2" t="s">
        <v>109</v>
      </c>
      <c r="E38" s="2" t="s">
        <v>110</v>
      </c>
      <c r="F38" s="5">
        <v>44435</v>
      </c>
      <c r="G38" s="2" t="s">
        <v>36</v>
      </c>
      <c r="H38" s="2" t="s">
        <v>17</v>
      </c>
      <c r="I38" s="2" t="s">
        <v>299</v>
      </c>
      <c r="J38" s="2" t="s">
        <v>111</v>
      </c>
      <c r="K38" s="2" t="s">
        <v>25</v>
      </c>
      <c r="L38" s="2" t="s">
        <v>79</v>
      </c>
      <c r="M38" s="37">
        <v>3000</v>
      </c>
      <c r="N38" s="2" t="s">
        <v>112</v>
      </c>
    </row>
    <row r="39" spans="4:14" x14ac:dyDescent="0.25">
      <c r="D39" s="2" t="s">
        <v>113</v>
      </c>
      <c r="E39" s="2" t="s">
        <v>114</v>
      </c>
      <c r="F39" s="5">
        <v>45231</v>
      </c>
      <c r="G39" s="2" t="s">
        <v>16</v>
      </c>
      <c r="H39" s="2" t="s">
        <v>30</v>
      </c>
      <c r="I39" s="2" t="s">
        <v>299</v>
      </c>
      <c r="J39" s="2" t="s">
        <v>115</v>
      </c>
      <c r="K39" s="2" t="s">
        <v>19</v>
      </c>
      <c r="L39" s="2" t="s">
        <v>20</v>
      </c>
      <c r="M39" s="37">
        <v>1500</v>
      </c>
      <c r="N39" s="2" t="s">
        <v>116</v>
      </c>
    </row>
    <row r="40" spans="4:14" x14ac:dyDescent="0.25">
      <c r="D40" s="2" t="s">
        <v>117</v>
      </c>
      <c r="E40" s="2" t="s">
        <v>118</v>
      </c>
      <c r="F40" s="5">
        <v>44281</v>
      </c>
      <c r="G40" s="2" t="s">
        <v>41</v>
      </c>
      <c r="H40" s="2" t="s">
        <v>30</v>
      </c>
      <c r="I40" s="2" t="s">
        <v>299</v>
      </c>
      <c r="J40" s="2" t="s">
        <v>119</v>
      </c>
      <c r="K40" s="2" t="s">
        <v>57</v>
      </c>
      <c r="L40" s="2" t="s">
        <v>79</v>
      </c>
      <c r="M40" s="37">
        <v>3000</v>
      </c>
      <c r="N40" s="2" t="s">
        <v>120</v>
      </c>
    </row>
    <row r="41" spans="4:14" x14ac:dyDescent="0.25">
      <c r="D41" s="2" t="s">
        <v>121</v>
      </c>
      <c r="E41" s="2" t="s">
        <v>122</v>
      </c>
      <c r="F41" s="5">
        <v>44043</v>
      </c>
      <c r="G41" s="2" t="s">
        <v>16</v>
      </c>
      <c r="H41" s="2" t="s">
        <v>17</v>
      </c>
      <c r="I41" s="2" t="s">
        <v>299</v>
      </c>
      <c r="J41" s="2" t="s">
        <v>123</v>
      </c>
      <c r="K41" s="2" t="s">
        <v>25</v>
      </c>
      <c r="L41" s="2" t="s">
        <v>26</v>
      </c>
      <c r="M41" s="37">
        <v>2500</v>
      </c>
      <c r="N41" s="2" t="s">
        <v>124</v>
      </c>
    </row>
    <row r="42" spans="4:14" x14ac:dyDescent="0.25">
      <c r="D42" s="2" t="s">
        <v>125</v>
      </c>
      <c r="E42" s="2" t="s">
        <v>126</v>
      </c>
      <c r="F42" s="5">
        <v>45655</v>
      </c>
      <c r="G42" s="2" t="s">
        <v>36</v>
      </c>
      <c r="H42" s="2" t="s">
        <v>30</v>
      </c>
      <c r="I42" s="2" t="s">
        <v>42</v>
      </c>
      <c r="J42" s="2" t="s">
        <v>127</v>
      </c>
      <c r="K42" s="2" t="s">
        <v>52</v>
      </c>
      <c r="L42" s="2" t="s">
        <v>79</v>
      </c>
      <c r="M42" s="37">
        <v>1500</v>
      </c>
      <c r="N42" s="2" t="s">
        <v>128</v>
      </c>
    </row>
    <row r="43" spans="4:14" x14ac:dyDescent="0.25">
      <c r="D43" s="2" t="s">
        <v>129</v>
      </c>
      <c r="E43" s="2" t="s">
        <v>130</v>
      </c>
      <c r="F43" s="5">
        <v>45287</v>
      </c>
      <c r="G43" s="2" t="s">
        <v>36</v>
      </c>
      <c r="H43" s="2" t="s">
        <v>17</v>
      </c>
      <c r="I43" s="2" t="s">
        <v>299</v>
      </c>
      <c r="J43" s="2" t="s">
        <v>131</v>
      </c>
      <c r="K43" s="2" t="s">
        <v>52</v>
      </c>
      <c r="L43" s="2" t="s">
        <v>79</v>
      </c>
      <c r="M43" s="37">
        <v>2500</v>
      </c>
      <c r="N43" s="2" t="s">
        <v>132</v>
      </c>
    </row>
    <row r="44" spans="4:14" x14ac:dyDescent="0.25">
      <c r="D44" s="2" t="s">
        <v>133</v>
      </c>
      <c r="E44" s="2" t="s">
        <v>134</v>
      </c>
      <c r="F44" s="5">
        <v>44883</v>
      </c>
      <c r="G44" s="2" t="s">
        <v>36</v>
      </c>
      <c r="H44" s="2" t="s">
        <v>30</v>
      </c>
      <c r="I44" s="2" t="s">
        <v>299</v>
      </c>
      <c r="J44" s="2" t="s">
        <v>135</v>
      </c>
      <c r="K44" s="2" t="s">
        <v>52</v>
      </c>
      <c r="L44" s="2" t="s">
        <v>26</v>
      </c>
      <c r="M44" s="37">
        <v>2500</v>
      </c>
      <c r="N44" s="2" t="s">
        <v>136</v>
      </c>
    </row>
    <row r="45" spans="4:14" x14ac:dyDescent="0.25">
      <c r="D45" s="2" t="s">
        <v>137</v>
      </c>
      <c r="E45" s="2" t="s">
        <v>138</v>
      </c>
      <c r="F45" s="5">
        <v>44640</v>
      </c>
      <c r="G45" s="2" t="s">
        <v>36</v>
      </c>
      <c r="H45" s="2" t="s">
        <v>30</v>
      </c>
      <c r="I45" s="2" t="s">
        <v>42</v>
      </c>
      <c r="J45" s="2" t="s">
        <v>139</v>
      </c>
      <c r="K45" s="2" t="s">
        <v>70</v>
      </c>
      <c r="L45" s="2" t="s">
        <v>26</v>
      </c>
      <c r="M45" s="37">
        <v>3000</v>
      </c>
      <c r="N45" s="2" t="s">
        <v>140</v>
      </c>
    </row>
    <row r="46" spans="4:14" x14ac:dyDescent="0.25">
      <c r="D46" s="2" t="s">
        <v>141</v>
      </c>
      <c r="E46" s="2" t="s">
        <v>142</v>
      </c>
      <c r="F46" s="5">
        <v>45093</v>
      </c>
      <c r="G46" s="2" t="s">
        <v>36</v>
      </c>
      <c r="H46" s="2" t="s">
        <v>30</v>
      </c>
      <c r="I46" s="2" t="s">
        <v>42</v>
      </c>
      <c r="J46" s="2" t="s">
        <v>143</v>
      </c>
      <c r="K46" s="2" t="s">
        <v>19</v>
      </c>
      <c r="L46" s="2" t="s">
        <v>26</v>
      </c>
      <c r="M46" s="37">
        <v>2500</v>
      </c>
      <c r="N46" s="2" t="s">
        <v>144</v>
      </c>
    </row>
    <row r="47" spans="4:14" x14ac:dyDescent="0.25">
      <c r="D47" s="2" t="s">
        <v>145</v>
      </c>
      <c r="E47" s="2" t="s">
        <v>146</v>
      </c>
      <c r="F47" s="5">
        <v>44274</v>
      </c>
      <c r="G47" s="2" t="s">
        <v>41</v>
      </c>
      <c r="H47" s="2" t="s">
        <v>30</v>
      </c>
      <c r="I47" s="2" t="s">
        <v>299</v>
      </c>
      <c r="J47" s="2" t="s">
        <v>147</v>
      </c>
      <c r="K47" s="2" t="s">
        <v>19</v>
      </c>
      <c r="L47" s="2" t="s">
        <v>20</v>
      </c>
      <c r="M47" s="37">
        <v>1500</v>
      </c>
      <c r="N47" s="2" t="s">
        <v>148</v>
      </c>
    </row>
    <row r="48" spans="4:14" x14ac:dyDescent="0.25">
      <c r="D48" s="2" t="s">
        <v>149</v>
      </c>
      <c r="E48" s="2" t="s">
        <v>150</v>
      </c>
      <c r="F48" s="5">
        <v>44076</v>
      </c>
      <c r="G48" s="2" t="s">
        <v>36</v>
      </c>
      <c r="H48" s="2" t="s">
        <v>30</v>
      </c>
      <c r="I48" s="2" t="s">
        <v>42</v>
      </c>
      <c r="J48" s="2" t="s">
        <v>151</v>
      </c>
      <c r="K48" s="2" t="s">
        <v>32</v>
      </c>
      <c r="L48" s="2" t="s">
        <v>20</v>
      </c>
      <c r="M48" s="37">
        <v>3000</v>
      </c>
      <c r="N48" s="2" t="s">
        <v>152</v>
      </c>
    </row>
    <row r="49" spans="4:14" x14ac:dyDescent="0.25">
      <c r="D49" s="2" t="s">
        <v>153</v>
      </c>
      <c r="E49" s="2" t="s">
        <v>154</v>
      </c>
      <c r="F49" s="5">
        <v>44305</v>
      </c>
      <c r="G49" s="2" t="s">
        <v>36</v>
      </c>
      <c r="H49" s="2" t="s">
        <v>30</v>
      </c>
      <c r="I49" s="2" t="s">
        <v>42</v>
      </c>
      <c r="J49" s="2" t="s">
        <v>155</v>
      </c>
      <c r="K49" s="2" t="s">
        <v>25</v>
      </c>
      <c r="L49" s="2" t="s">
        <v>79</v>
      </c>
      <c r="M49" s="37">
        <v>3000</v>
      </c>
      <c r="N49" s="2" t="s">
        <v>156</v>
      </c>
    </row>
    <row r="50" spans="4:14" x14ac:dyDescent="0.25">
      <c r="D50" s="2" t="s">
        <v>157</v>
      </c>
      <c r="E50" s="2" t="s">
        <v>158</v>
      </c>
      <c r="F50" s="5">
        <v>44379</v>
      </c>
      <c r="G50" s="2" t="s">
        <v>36</v>
      </c>
      <c r="H50" s="2" t="s">
        <v>30</v>
      </c>
      <c r="I50" s="2" t="s">
        <v>299</v>
      </c>
      <c r="J50" s="2" t="s">
        <v>159</v>
      </c>
      <c r="K50" s="2" t="s">
        <v>19</v>
      </c>
      <c r="L50" s="2" t="s">
        <v>79</v>
      </c>
      <c r="M50" s="37">
        <v>2500</v>
      </c>
      <c r="N50" s="2" t="s">
        <v>160</v>
      </c>
    </row>
    <row r="51" spans="4:14" x14ac:dyDescent="0.25">
      <c r="D51" s="2" t="s">
        <v>161</v>
      </c>
      <c r="E51" s="2" t="s">
        <v>162</v>
      </c>
      <c r="F51" s="5">
        <v>45717</v>
      </c>
      <c r="G51" s="2" t="s">
        <v>16</v>
      </c>
      <c r="H51" s="2" t="s">
        <v>17</v>
      </c>
      <c r="I51" s="2" t="s">
        <v>299</v>
      </c>
      <c r="J51" s="2" t="s">
        <v>163</v>
      </c>
      <c r="K51" s="2" t="s">
        <v>57</v>
      </c>
      <c r="L51" s="2" t="s">
        <v>79</v>
      </c>
      <c r="M51" s="37">
        <v>2500</v>
      </c>
      <c r="N51" s="2" t="s">
        <v>164</v>
      </c>
    </row>
    <row r="52" spans="4:14" x14ac:dyDescent="0.25">
      <c r="D52" s="2" t="s">
        <v>165</v>
      </c>
      <c r="E52" s="2" t="s">
        <v>166</v>
      </c>
      <c r="F52" s="5">
        <v>44485</v>
      </c>
      <c r="G52" s="2" t="s">
        <v>36</v>
      </c>
      <c r="H52" s="2" t="s">
        <v>17</v>
      </c>
      <c r="I52" s="2" t="s">
        <v>42</v>
      </c>
      <c r="J52" s="2" t="s">
        <v>167</v>
      </c>
      <c r="K52" s="2" t="s">
        <v>52</v>
      </c>
      <c r="L52" s="2" t="s">
        <v>79</v>
      </c>
      <c r="M52" s="37">
        <v>3000</v>
      </c>
      <c r="N52" s="2" t="s">
        <v>168</v>
      </c>
    </row>
    <row r="53" spans="4:14" x14ac:dyDescent="0.25">
      <c r="D53" s="2" t="s">
        <v>169</v>
      </c>
      <c r="E53" s="2" t="s">
        <v>170</v>
      </c>
      <c r="F53" s="5">
        <v>44714</v>
      </c>
      <c r="G53" s="2" t="s">
        <v>36</v>
      </c>
      <c r="H53" s="2" t="s">
        <v>17</v>
      </c>
      <c r="I53" s="2" t="s">
        <v>299</v>
      </c>
      <c r="J53" s="2" t="s">
        <v>171</v>
      </c>
      <c r="K53" s="2" t="s">
        <v>19</v>
      </c>
      <c r="L53" s="2" t="s">
        <v>79</v>
      </c>
      <c r="M53" s="37">
        <v>2500</v>
      </c>
      <c r="N53" s="2" t="s">
        <v>172</v>
      </c>
    </row>
    <row r="54" spans="4:14" x14ac:dyDescent="0.25">
      <c r="D54" s="2" t="s">
        <v>173</v>
      </c>
      <c r="E54" s="2" t="s">
        <v>174</v>
      </c>
      <c r="F54" s="5">
        <v>45373</v>
      </c>
      <c r="G54" s="2" t="s">
        <v>16</v>
      </c>
      <c r="H54" s="2" t="s">
        <v>17</v>
      </c>
      <c r="I54" s="2" t="s">
        <v>42</v>
      </c>
      <c r="J54" s="2" t="s">
        <v>175</v>
      </c>
      <c r="K54" s="2" t="s">
        <v>52</v>
      </c>
      <c r="L54" s="2" t="s">
        <v>26</v>
      </c>
      <c r="M54" s="37">
        <v>2500</v>
      </c>
      <c r="N54" s="2" t="s">
        <v>176</v>
      </c>
    </row>
    <row r="55" spans="4:14" x14ac:dyDescent="0.25">
      <c r="D55" s="2" t="s">
        <v>177</v>
      </c>
      <c r="E55" s="2" t="s">
        <v>178</v>
      </c>
      <c r="F55" s="5">
        <v>44736</v>
      </c>
      <c r="G55" s="2" t="s">
        <v>41</v>
      </c>
      <c r="H55" s="2" t="s">
        <v>17</v>
      </c>
      <c r="I55" s="2" t="s">
        <v>42</v>
      </c>
      <c r="J55" s="2" t="s">
        <v>179</v>
      </c>
      <c r="K55" s="2" t="s">
        <v>52</v>
      </c>
      <c r="L55" s="2" t="s">
        <v>20</v>
      </c>
      <c r="M55" s="37">
        <v>2500</v>
      </c>
      <c r="N55" s="2" t="s">
        <v>180</v>
      </c>
    </row>
    <row r="56" spans="4:14" x14ac:dyDescent="0.25">
      <c r="D56" s="2" t="s">
        <v>181</v>
      </c>
      <c r="E56" s="2" t="s">
        <v>182</v>
      </c>
      <c r="F56" s="5">
        <v>45199</v>
      </c>
      <c r="G56" s="2" t="s">
        <v>41</v>
      </c>
      <c r="H56" s="2" t="s">
        <v>17</v>
      </c>
      <c r="I56" s="2" t="s">
        <v>299</v>
      </c>
      <c r="J56" s="2" t="s">
        <v>183</v>
      </c>
      <c r="K56" s="2" t="s">
        <v>19</v>
      </c>
      <c r="L56" s="2" t="s">
        <v>26</v>
      </c>
      <c r="M56" s="37">
        <v>2500</v>
      </c>
      <c r="N56" s="2" t="s">
        <v>184</v>
      </c>
    </row>
    <row r="57" spans="4:14" x14ac:dyDescent="0.25">
      <c r="D57" s="2" t="s">
        <v>185</v>
      </c>
      <c r="E57" s="2" t="s">
        <v>186</v>
      </c>
      <c r="F57" s="5">
        <v>45742</v>
      </c>
      <c r="G57" s="2" t="s">
        <v>36</v>
      </c>
      <c r="H57" s="2" t="s">
        <v>30</v>
      </c>
      <c r="I57" s="2" t="s">
        <v>299</v>
      </c>
      <c r="J57" s="2" t="s">
        <v>187</v>
      </c>
      <c r="K57" s="2" t="s">
        <v>19</v>
      </c>
      <c r="L57" s="2" t="s">
        <v>26</v>
      </c>
      <c r="M57" s="37">
        <v>2500</v>
      </c>
      <c r="N57" s="2" t="s">
        <v>188</v>
      </c>
    </row>
    <row r="58" spans="4:14" x14ac:dyDescent="0.25">
      <c r="D58" s="2" t="s">
        <v>189</v>
      </c>
      <c r="E58" s="2" t="s">
        <v>190</v>
      </c>
      <c r="F58" s="5">
        <v>45779</v>
      </c>
      <c r="G58" s="2" t="s">
        <v>36</v>
      </c>
      <c r="H58" s="2" t="s">
        <v>17</v>
      </c>
      <c r="I58" s="2" t="s">
        <v>299</v>
      </c>
      <c r="J58" s="2" t="s">
        <v>191</v>
      </c>
      <c r="K58" s="2" t="s">
        <v>32</v>
      </c>
      <c r="L58" s="2" t="s">
        <v>20</v>
      </c>
      <c r="M58" s="37">
        <v>2500</v>
      </c>
      <c r="N58" s="2" t="s">
        <v>192</v>
      </c>
    </row>
    <row r="59" spans="4:14" x14ac:dyDescent="0.25">
      <c r="D59" s="2" t="s">
        <v>193</v>
      </c>
      <c r="E59" s="2" t="s">
        <v>194</v>
      </c>
      <c r="F59" s="5">
        <v>44530</v>
      </c>
      <c r="G59" s="2" t="s">
        <v>16</v>
      </c>
      <c r="H59" s="2" t="s">
        <v>30</v>
      </c>
      <c r="I59" s="2" t="s">
        <v>42</v>
      </c>
      <c r="J59" s="2" t="s">
        <v>195</v>
      </c>
      <c r="K59" s="2" t="s">
        <v>32</v>
      </c>
      <c r="L59" s="2" t="s">
        <v>79</v>
      </c>
      <c r="M59" s="37">
        <v>1500</v>
      </c>
      <c r="N59" s="2" t="s">
        <v>196</v>
      </c>
    </row>
    <row r="60" spans="4:14" x14ac:dyDescent="0.25">
      <c r="D60" s="2" t="s">
        <v>197</v>
      </c>
      <c r="E60" s="2" t="s">
        <v>198</v>
      </c>
      <c r="F60" s="5">
        <v>45624</v>
      </c>
      <c r="G60" s="2" t="s">
        <v>41</v>
      </c>
      <c r="H60" s="2" t="s">
        <v>30</v>
      </c>
      <c r="I60" s="2" t="s">
        <v>42</v>
      </c>
      <c r="J60" s="2" t="s">
        <v>199</v>
      </c>
      <c r="K60" s="2" t="s">
        <v>25</v>
      </c>
      <c r="L60" s="2" t="s">
        <v>79</v>
      </c>
      <c r="M60" s="37">
        <v>2500</v>
      </c>
      <c r="N60" s="2" t="s">
        <v>200</v>
      </c>
    </row>
    <row r="61" spans="4:14" x14ac:dyDescent="0.25">
      <c r="D61" s="2" t="s">
        <v>201</v>
      </c>
      <c r="E61" s="2" t="s">
        <v>202</v>
      </c>
      <c r="F61" s="5">
        <v>45551</v>
      </c>
      <c r="G61" s="2" t="s">
        <v>16</v>
      </c>
      <c r="H61" s="2" t="s">
        <v>17</v>
      </c>
      <c r="I61" s="2" t="s">
        <v>42</v>
      </c>
      <c r="J61" s="2" t="s">
        <v>203</v>
      </c>
      <c r="K61" s="2" t="s">
        <v>19</v>
      </c>
      <c r="L61" s="2" t="s">
        <v>20</v>
      </c>
      <c r="M61" s="37">
        <v>3000</v>
      </c>
      <c r="N61" s="2" t="s">
        <v>204</v>
      </c>
    </row>
    <row r="62" spans="4:14" x14ac:dyDescent="0.25">
      <c r="D62" s="2" t="s">
        <v>205</v>
      </c>
      <c r="E62" s="2" t="s">
        <v>206</v>
      </c>
      <c r="F62" s="5">
        <v>44813</v>
      </c>
      <c r="G62" s="2" t="s">
        <v>36</v>
      </c>
      <c r="H62" s="2" t="s">
        <v>30</v>
      </c>
      <c r="I62" s="2" t="s">
        <v>42</v>
      </c>
      <c r="J62" s="2" t="s">
        <v>207</v>
      </c>
      <c r="K62" s="2" t="s">
        <v>57</v>
      </c>
      <c r="L62" s="2" t="s">
        <v>20</v>
      </c>
      <c r="M62" s="37">
        <v>3000</v>
      </c>
      <c r="N62" s="2" t="s">
        <v>208</v>
      </c>
    </row>
    <row r="63" spans="4:14" x14ac:dyDescent="0.25">
      <c r="D63" s="2" t="s">
        <v>209</v>
      </c>
      <c r="E63" s="2" t="s">
        <v>210</v>
      </c>
      <c r="F63" s="5">
        <v>45547</v>
      </c>
      <c r="G63" s="2" t="s">
        <v>41</v>
      </c>
      <c r="H63" s="2" t="s">
        <v>17</v>
      </c>
      <c r="I63" s="2" t="s">
        <v>299</v>
      </c>
      <c r="J63" s="2" t="s">
        <v>211</v>
      </c>
      <c r="K63" s="2" t="s">
        <v>32</v>
      </c>
      <c r="L63" s="2" t="s">
        <v>79</v>
      </c>
      <c r="M63" s="37">
        <v>3000</v>
      </c>
      <c r="N63" s="2" t="s">
        <v>212</v>
      </c>
    </row>
    <row r="64" spans="4:14" x14ac:dyDescent="0.25">
      <c r="D64" s="2" t="s">
        <v>213</v>
      </c>
      <c r="E64" s="2" t="s">
        <v>214</v>
      </c>
      <c r="F64" s="5">
        <v>45756</v>
      </c>
      <c r="G64" s="2" t="s">
        <v>16</v>
      </c>
      <c r="H64" s="2" t="s">
        <v>17</v>
      </c>
      <c r="I64" s="2" t="s">
        <v>299</v>
      </c>
      <c r="J64" s="2" t="s">
        <v>215</v>
      </c>
      <c r="K64" s="2" t="s">
        <v>57</v>
      </c>
      <c r="L64" s="2" t="s">
        <v>20</v>
      </c>
      <c r="M64" s="37">
        <v>1500</v>
      </c>
      <c r="N64" s="2" t="s">
        <v>216</v>
      </c>
    </row>
    <row r="65" spans="4:14" x14ac:dyDescent="0.25">
      <c r="D65" s="2" t="s">
        <v>217</v>
      </c>
      <c r="E65" s="2" t="s">
        <v>218</v>
      </c>
      <c r="F65" s="5">
        <v>45472</v>
      </c>
      <c r="G65" s="2" t="s">
        <v>41</v>
      </c>
      <c r="H65" s="2" t="s">
        <v>30</v>
      </c>
      <c r="I65" s="2" t="s">
        <v>299</v>
      </c>
      <c r="J65" s="2" t="s">
        <v>219</v>
      </c>
      <c r="K65" s="2" t="s">
        <v>57</v>
      </c>
      <c r="L65" s="2" t="s">
        <v>20</v>
      </c>
      <c r="M65" s="37">
        <v>2500</v>
      </c>
      <c r="N65" s="2" t="s">
        <v>220</v>
      </c>
    </row>
    <row r="66" spans="4:14" x14ac:dyDescent="0.25">
      <c r="D66" s="2" t="s">
        <v>221</v>
      </c>
      <c r="E66" s="2" t="s">
        <v>222</v>
      </c>
      <c r="F66" s="5">
        <v>44164</v>
      </c>
      <c r="G66" s="2" t="s">
        <v>16</v>
      </c>
      <c r="H66" s="2" t="s">
        <v>30</v>
      </c>
      <c r="I66" s="2" t="s">
        <v>42</v>
      </c>
      <c r="J66" s="2" t="s">
        <v>223</v>
      </c>
      <c r="K66" s="2" t="s">
        <v>19</v>
      </c>
      <c r="L66" s="2" t="s">
        <v>26</v>
      </c>
      <c r="M66" s="37">
        <v>3000</v>
      </c>
      <c r="N66" s="2" t="s">
        <v>224</v>
      </c>
    </row>
    <row r="67" spans="4:14" x14ac:dyDescent="0.25">
      <c r="D67" s="2" t="s">
        <v>225</v>
      </c>
      <c r="E67" s="2" t="s">
        <v>226</v>
      </c>
      <c r="F67" s="5">
        <v>44737</v>
      </c>
      <c r="G67" s="2" t="s">
        <v>36</v>
      </c>
      <c r="H67" s="2" t="s">
        <v>17</v>
      </c>
      <c r="I67" s="2" t="s">
        <v>42</v>
      </c>
      <c r="J67" s="2" t="s">
        <v>227</v>
      </c>
      <c r="K67" s="2" t="s">
        <v>57</v>
      </c>
      <c r="L67" s="2" t="s">
        <v>79</v>
      </c>
      <c r="M67" s="37">
        <v>3000</v>
      </c>
      <c r="N67" s="2" t="s">
        <v>228</v>
      </c>
    </row>
    <row r="68" spans="4:14" x14ac:dyDescent="0.25">
      <c r="D68" s="2" t="s">
        <v>229</v>
      </c>
      <c r="E68" s="2" t="s">
        <v>230</v>
      </c>
      <c r="F68" s="5">
        <v>44143</v>
      </c>
      <c r="G68" s="2" t="s">
        <v>16</v>
      </c>
      <c r="H68" s="2" t="s">
        <v>30</v>
      </c>
      <c r="I68" s="2" t="s">
        <v>299</v>
      </c>
      <c r="J68" s="2" t="s">
        <v>231</v>
      </c>
      <c r="K68" s="2" t="s">
        <v>57</v>
      </c>
      <c r="L68" s="2" t="s">
        <v>79</v>
      </c>
      <c r="M68" s="37">
        <v>2500</v>
      </c>
      <c r="N68" s="2" t="s">
        <v>232</v>
      </c>
    </row>
    <row r="69" spans="4:14" x14ac:dyDescent="0.25">
      <c r="D69" s="2" t="s">
        <v>233</v>
      </c>
      <c r="E69" s="2" t="s">
        <v>234</v>
      </c>
      <c r="F69" s="5">
        <v>44290</v>
      </c>
      <c r="G69" s="2" t="s">
        <v>16</v>
      </c>
      <c r="H69" s="2" t="s">
        <v>17</v>
      </c>
      <c r="I69" s="2" t="s">
        <v>42</v>
      </c>
      <c r="J69" s="2" t="s">
        <v>235</v>
      </c>
      <c r="K69" s="2" t="s">
        <v>57</v>
      </c>
      <c r="L69" s="2" t="s">
        <v>79</v>
      </c>
      <c r="M69" s="37">
        <v>2500</v>
      </c>
      <c r="N69" s="2" t="s">
        <v>236</v>
      </c>
    </row>
    <row r="70" spans="4:14" x14ac:dyDescent="0.25">
      <c r="D70" s="2" t="s">
        <v>237</v>
      </c>
      <c r="E70" s="2" t="s">
        <v>238</v>
      </c>
      <c r="F70" s="5">
        <v>44308</v>
      </c>
      <c r="G70" s="2" t="s">
        <v>41</v>
      </c>
      <c r="H70" s="2" t="s">
        <v>30</v>
      </c>
      <c r="I70" s="2" t="s">
        <v>42</v>
      </c>
      <c r="J70" s="2" t="s">
        <v>239</v>
      </c>
      <c r="K70" s="2" t="s">
        <v>32</v>
      </c>
      <c r="L70" s="2" t="s">
        <v>79</v>
      </c>
      <c r="M70" s="37">
        <v>3000</v>
      </c>
      <c r="N70" s="2" t="s">
        <v>240</v>
      </c>
    </row>
    <row r="71" spans="4:14" x14ac:dyDescent="0.25">
      <c r="D71" s="2" t="s">
        <v>241</v>
      </c>
      <c r="E71" s="2" t="s">
        <v>242</v>
      </c>
      <c r="F71" s="5">
        <v>45116</v>
      </c>
      <c r="G71" s="2" t="s">
        <v>16</v>
      </c>
      <c r="H71" s="2" t="s">
        <v>17</v>
      </c>
      <c r="I71" s="2" t="s">
        <v>42</v>
      </c>
      <c r="J71" s="2" t="s">
        <v>243</v>
      </c>
      <c r="K71" s="2" t="s">
        <v>25</v>
      </c>
      <c r="L71" s="2" t="s">
        <v>20</v>
      </c>
      <c r="M71" s="37">
        <v>3000</v>
      </c>
      <c r="N71" s="2" t="s">
        <v>244</v>
      </c>
    </row>
    <row r="72" spans="4:14" x14ac:dyDescent="0.25">
      <c r="D72" s="2" t="s">
        <v>245</v>
      </c>
      <c r="E72" s="2" t="s">
        <v>246</v>
      </c>
      <c r="F72" s="5">
        <v>44205</v>
      </c>
      <c r="G72" s="2" t="s">
        <v>41</v>
      </c>
      <c r="H72" s="2" t="s">
        <v>17</v>
      </c>
      <c r="I72" s="2" t="s">
        <v>299</v>
      </c>
      <c r="J72" s="2" t="s">
        <v>247</v>
      </c>
      <c r="K72" s="2" t="s">
        <v>52</v>
      </c>
      <c r="L72" s="2" t="s">
        <v>20</v>
      </c>
      <c r="M72" s="37">
        <v>1500</v>
      </c>
      <c r="N72" s="2" t="s">
        <v>248</v>
      </c>
    </row>
    <row r="73" spans="4:14" x14ac:dyDescent="0.25">
      <c r="D73" s="2" t="s">
        <v>249</v>
      </c>
      <c r="E73" s="2" t="s">
        <v>250</v>
      </c>
      <c r="F73" s="5">
        <v>44706</v>
      </c>
      <c r="G73" s="2" t="s">
        <v>16</v>
      </c>
      <c r="H73" s="2" t="s">
        <v>17</v>
      </c>
      <c r="I73" s="2" t="s">
        <v>42</v>
      </c>
      <c r="J73" s="2" t="s">
        <v>251</v>
      </c>
      <c r="K73" s="2" t="s">
        <v>32</v>
      </c>
      <c r="L73" s="2" t="s">
        <v>20</v>
      </c>
      <c r="M73" s="37">
        <v>3000</v>
      </c>
      <c r="N73" s="2" t="s">
        <v>252</v>
      </c>
    </row>
    <row r="74" spans="4:14" x14ac:dyDescent="0.25">
      <c r="D74" s="2" t="s">
        <v>253</v>
      </c>
      <c r="E74" s="2" t="s">
        <v>254</v>
      </c>
      <c r="F74" s="5">
        <v>44315</v>
      </c>
      <c r="G74" s="2" t="s">
        <v>41</v>
      </c>
      <c r="H74" s="2" t="s">
        <v>30</v>
      </c>
      <c r="I74" s="2" t="s">
        <v>299</v>
      </c>
      <c r="J74" s="2" t="s">
        <v>255</v>
      </c>
      <c r="K74" s="2" t="s">
        <v>19</v>
      </c>
      <c r="L74" s="2" t="s">
        <v>20</v>
      </c>
      <c r="M74" s="37">
        <v>1500</v>
      </c>
      <c r="N74" s="2" t="s">
        <v>256</v>
      </c>
    </row>
    <row r="75" spans="4:14" x14ac:dyDescent="0.25">
      <c r="D75" s="2" t="s">
        <v>257</v>
      </c>
      <c r="E75" s="2" t="s">
        <v>258</v>
      </c>
      <c r="F75" s="5">
        <v>45653</v>
      </c>
      <c r="G75" s="2" t="s">
        <v>16</v>
      </c>
      <c r="H75" s="2" t="s">
        <v>17</v>
      </c>
      <c r="I75" s="2" t="s">
        <v>42</v>
      </c>
      <c r="J75" s="2" t="s">
        <v>259</v>
      </c>
      <c r="K75" s="2" t="s">
        <v>25</v>
      </c>
      <c r="L75" s="2" t="s">
        <v>20</v>
      </c>
      <c r="M75" s="37">
        <v>1500</v>
      </c>
      <c r="N75" s="2" t="s">
        <v>260</v>
      </c>
    </row>
    <row r="76" spans="4:14" x14ac:dyDescent="0.25">
      <c r="D76" s="2" t="s">
        <v>261</v>
      </c>
      <c r="E76" s="2" t="s">
        <v>262</v>
      </c>
      <c r="F76" s="5">
        <v>45580</v>
      </c>
      <c r="G76" s="2" t="s">
        <v>16</v>
      </c>
      <c r="H76" s="2" t="s">
        <v>17</v>
      </c>
      <c r="I76" s="2" t="s">
        <v>299</v>
      </c>
      <c r="J76" s="2" t="s">
        <v>263</v>
      </c>
      <c r="K76" s="2" t="s">
        <v>19</v>
      </c>
      <c r="L76" s="2" t="s">
        <v>79</v>
      </c>
      <c r="M76" s="37">
        <v>2500</v>
      </c>
      <c r="N76" s="2" t="s">
        <v>264</v>
      </c>
    </row>
    <row r="77" spans="4:14" x14ac:dyDescent="0.25">
      <c r="D77" s="2" t="s">
        <v>265</v>
      </c>
      <c r="E77" s="2" t="s">
        <v>266</v>
      </c>
      <c r="F77" s="5">
        <v>45656</v>
      </c>
      <c r="G77" s="2" t="s">
        <v>41</v>
      </c>
      <c r="H77" s="2" t="s">
        <v>17</v>
      </c>
      <c r="I77" s="2" t="s">
        <v>299</v>
      </c>
      <c r="J77" s="2" t="s">
        <v>267</v>
      </c>
      <c r="K77" s="2" t="s">
        <v>32</v>
      </c>
      <c r="L77" s="2" t="s">
        <v>79</v>
      </c>
      <c r="M77" s="37">
        <v>1500</v>
      </c>
      <c r="N77" s="2" t="s">
        <v>268</v>
      </c>
    </row>
  </sheetData>
  <autoFilter ref="D17:N7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61"/>
  <sheetViews>
    <sheetView showGridLines="0" topLeftCell="A40" zoomScale="150" zoomScaleNormal="150" workbookViewId="0">
      <selection activeCell="D61" sqref="D61"/>
    </sheetView>
  </sheetViews>
  <sheetFormatPr baseColWidth="10" defaultRowHeight="15" x14ac:dyDescent="0.25"/>
  <cols>
    <col min="1" max="1" width="2.7109375" customWidth="1"/>
    <col min="2" max="2" width="19.140625" customWidth="1"/>
    <col min="4" max="4" width="13.42578125" customWidth="1"/>
    <col min="7" max="7" width="18.85546875" customWidth="1"/>
    <col min="8" max="9" width="14.85546875" customWidth="1"/>
  </cols>
  <sheetData>
    <row r="4" spans="2:4" x14ac:dyDescent="0.25">
      <c r="B4" s="8" t="s">
        <v>269</v>
      </c>
    </row>
    <row r="6" spans="2:4" x14ac:dyDescent="0.25">
      <c r="B6" s="72" t="s">
        <v>270</v>
      </c>
      <c r="C6" s="72"/>
      <c r="D6" s="68"/>
    </row>
    <row r="8" spans="2:4" x14ac:dyDescent="0.25">
      <c r="B8" s="8" t="s">
        <v>271</v>
      </c>
    </row>
    <row r="10" spans="2:4" x14ac:dyDescent="0.25">
      <c r="B10" s="73" t="s">
        <v>272</v>
      </c>
      <c r="C10" s="74"/>
      <c r="D10" s="6"/>
    </row>
    <row r="12" spans="2:4" x14ac:dyDescent="0.25">
      <c r="B12" s="8" t="s">
        <v>273</v>
      </c>
    </row>
    <row r="13" spans="2:4" x14ac:dyDescent="0.25">
      <c r="B13" s="9" t="s">
        <v>0</v>
      </c>
      <c r="C13" s="75"/>
      <c r="D13" s="75"/>
    </row>
    <row r="15" spans="2:4" x14ac:dyDescent="0.25">
      <c r="B15" s="8" t="s">
        <v>274</v>
      </c>
    </row>
    <row r="17" spans="2:7" x14ac:dyDescent="0.25">
      <c r="B17" s="18" t="s">
        <v>276</v>
      </c>
      <c r="C17" s="19"/>
      <c r="D17" s="6"/>
    </row>
    <row r="18" spans="2:7" x14ac:dyDescent="0.25">
      <c r="B18" s="18" t="s">
        <v>275</v>
      </c>
      <c r="C18" s="19"/>
      <c r="D18" s="6"/>
    </row>
    <row r="20" spans="2:7" x14ac:dyDescent="0.25">
      <c r="B20" s="8" t="s">
        <v>277</v>
      </c>
    </row>
    <row r="22" spans="2:7" x14ac:dyDescent="0.25">
      <c r="B22" s="18" t="s">
        <v>278</v>
      </c>
      <c r="C22" s="19"/>
      <c r="D22" s="7"/>
    </row>
    <row r="23" spans="2:7" x14ac:dyDescent="0.25">
      <c r="B23" s="18" t="s">
        <v>279</v>
      </c>
      <c r="C23" s="19"/>
      <c r="D23" s="7"/>
    </row>
    <row r="24" spans="2:7" x14ac:dyDescent="0.25">
      <c r="B24" s="77" t="s">
        <v>280</v>
      </c>
      <c r="C24" s="78"/>
      <c r="D24" s="7"/>
    </row>
    <row r="26" spans="2:7" x14ac:dyDescent="0.25">
      <c r="B26" s="8" t="s">
        <v>281</v>
      </c>
    </row>
    <row r="28" spans="2:7" x14ac:dyDescent="0.25">
      <c r="B28" s="21" t="s">
        <v>282</v>
      </c>
      <c r="C28" s="22"/>
      <c r="D28" s="7"/>
    </row>
    <row r="29" spans="2:7" x14ac:dyDescent="0.25">
      <c r="B29" s="21" t="s">
        <v>283</v>
      </c>
      <c r="C29" s="22"/>
      <c r="D29" s="7"/>
    </row>
    <row r="30" spans="2:7" x14ac:dyDescent="0.25">
      <c r="B30" s="77" t="s">
        <v>280</v>
      </c>
      <c r="C30" s="78"/>
      <c r="D30" s="7"/>
    </row>
    <row r="32" spans="2:7" x14ac:dyDescent="0.25">
      <c r="B32" s="8" t="s">
        <v>284</v>
      </c>
      <c r="G32" s="8" t="s">
        <v>298</v>
      </c>
    </row>
    <row r="34" spans="2:9" x14ac:dyDescent="0.25">
      <c r="B34" s="18" t="s">
        <v>25</v>
      </c>
      <c r="C34" s="19"/>
      <c r="D34" s="7"/>
      <c r="G34" s="15" t="s">
        <v>25</v>
      </c>
      <c r="H34" s="19"/>
      <c r="I34" s="17"/>
    </row>
    <row r="35" spans="2:9" x14ac:dyDescent="0.25">
      <c r="B35" s="18" t="s">
        <v>19</v>
      </c>
      <c r="C35" s="19"/>
      <c r="D35" s="7"/>
      <c r="G35" s="10" t="s">
        <v>19</v>
      </c>
      <c r="H35" s="11"/>
      <c r="I35" s="17"/>
    </row>
    <row r="36" spans="2:9" x14ac:dyDescent="0.25">
      <c r="B36" s="18" t="s">
        <v>32</v>
      </c>
      <c r="C36" s="19"/>
      <c r="D36" s="7"/>
      <c r="G36" s="18" t="s">
        <v>32</v>
      </c>
      <c r="H36" s="19"/>
      <c r="I36" s="17"/>
    </row>
    <row r="37" spans="2:9" x14ac:dyDescent="0.25">
      <c r="B37" s="18" t="s">
        <v>52</v>
      </c>
      <c r="C37" s="19"/>
      <c r="D37" s="7"/>
      <c r="G37" s="18" t="s">
        <v>52</v>
      </c>
      <c r="H37" s="19"/>
      <c r="I37" s="17"/>
    </row>
    <row r="38" spans="2:9" x14ac:dyDescent="0.25">
      <c r="B38" s="18" t="s">
        <v>57</v>
      </c>
      <c r="C38" s="19"/>
      <c r="D38" s="7"/>
      <c r="G38" s="18" t="s">
        <v>57</v>
      </c>
      <c r="H38" s="19"/>
      <c r="I38" s="17"/>
    </row>
    <row r="39" spans="2:9" x14ac:dyDescent="0.25">
      <c r="B39" s="18" t="s">
        <v>70</v>
      </c>
      <c r="C39" s="19"/>
      <c r="D39" s="7"/>
      <c r="G39" s="18" t="s">
        <v>70</v>
      </c>
      <c r="H39" s="19"/>
      <c r="I39" s="17"/>
    </row>
    <row r="40" spans="2:9" x14ac:dyDescent="0.25">
      <c r="B40" s="79" t="s">
        <v>285</v>
      </c>
      <c r="C40" s="80"/>
      <c r="D40" s="1"/>
      <c r="G40" s="79" t="s">
        <v>285</v>
      </c>
      <c r="H40" s="80"/>
      <c r="I40" s="69"/>
    </row>
    <row r="42" spans="2:9" x14ac:dyDescent="0.25">
      <c r="B42" s="8" t="s">
        <v>286</v>
      </c>
      <c r="G42" s="8" t="s">
        <v>287</v>
      </c>
    </row>
    <row r="44" spans="2:9" x14ac:dyDescent="0.25">
      <c r="B44" s="13" t="s">
        <v>16</v>
      </c>
      <c r="C44" s="76"/>
      <c r="D44" s="76"/>
      <c r="G44" s="13" t="s">
        <v>16</v>
      </c>
      <c r="H44" s="20"/>
    </row>
    <row r="45" spans="2:9" x14ac:dyDescent="0.25">
      <c r="B45" s="13" t="s">
        <v>41</v>
      </c>
      <c r="C45" s="76"/>
      <c r="D45" s="76"/>
      <c r="G45" s="13" t="s">
        <v>41</v>
      </c>
      <c r="H45" s="20"/>
    </row>
    <row r="46" spans="2:9" x14ac:dyDescent="0.25">
      <c r="B46" s="13" t="s">
        <v>36</v>
      </c>
      <c r="C46" s="76"/>
      <c r="D46" s="76"/>
      <c r="G46" s="13" t="s">
        <v>36</v>
      </c>
      <c r="H46" s="20"/>
    </row>
    <row r="47" spans="2:9" x14ac:dyDescent="0.25">
      <c r="B47" s="14" t="s">
        <v>280</v>
      </c>
      <c r="C47" s="81"/>
      <c r="D47" s="81"/>
      <c r="G47" s="14" t="s">
        <v>280</v>
      </c>
      <c r="H47" s="69"/>
    </row>
    <row r="49" spans="2:7" x14ac:dyDescent="0.25">
      <c r="B49" s="12" t="s">
        <v>290</v>
      </c>
    </row>
    <row r="51" spans="2:7" x14ac:dyDescent="0.25">
      <c r="B51" s="73" t="s">
        <v>288</v>
      </c>
      <c r="C51" s="84"/>
      <c r="D51" s="74"/>
      <c r="E51" s="7"/>
      <c r="G51" t="s">
        <v>546</v>
      </c>
    </row>
    <row r="52" spans="2:7" x14ac:dyDescent="0.25">
      <c r="B52" s="73" t="s">
        <v>300</v>
      </c>
      <c r="C52" s="84"/>
      <c r="D52" s="74"/>
      <c r="E52" s="7"/>
    </row>
    <row r="53" spans="2:7" x14ac:dyDescent="0.25">
      <c r="B53" s="73" t="s">
        <v>289</v>
      </c>
      <c r="C53" s="84"/>
      <c r="D53" s="74"/>
      <c r="E53" s="7"/>
    </row>
    <row r="54" spans="2:7" x14ac:dyDescent="0.25">
      <c r="B54" s="77" t="s">
        <v>280</v>
      </c>
      <c r="C54" s="85"/>
      <c r="D54" s="78"/>
      <c r="E54" s="70"/>
    </row>
    <row r="56" spans="2:7" x14ac:dyDescent="0.25">
      <c r="B56" s="8" t="s">
        <v>291</v>
      </c>
    </row>
    <row r="58" spans="2:7" x14ac:dyDescent="0.25">
      <c r="B58" s="18" t="s">
        <v>26</v>
      </c>
      <c r="C58" s="19"/>
      <c r="D58" s="7"/>
    </row>
    <row r="59" spans="2:7" x14ac:dyDescent="0.25">
      <c r="B59" s="18" t="s">
        <v>20</v>
      </c>
      <c r="C59" s="19"/>
      <c r="D59" s="7"/>
    </row>
    <row r="60" spans="2:7" x14ac:dyDescent="0.25">
      <c r="B60" s="18" t="s">
        <v>79</v>
      </c>
      <c r="C60" s="19"/>
      <c r="D60" s="7"/>
    </row>
    <row r="61" spans="2:7" x14ac:dyDescent="0.25">
      <c r="B61" s="82" t="s">
        <v>280</v>
      </c>
      <c r="C61" s="83"/>
      <c r="D61" s="68"/>
    </row>
  </sheetData>
  <mergeCells count="16">
    <mergeCell ref="B61:C61"/>
    <mergeCell ref="B51:D51"/>
    <mergeCell ref="B52:D52"/>
    <mergeCell ref="B53:D53"/>
    <mergeCell ref="B54:D54"/>
    <mergeCell ref="G40:H40"/>
    <mergeCell ref="B30:C30"/>
    <mergeCell ref="C45:D45"/>
    <mergeCell ref="C46:D46"/>
    <mergeCell ref="C47:D47"/>
    <mergeCell ref="B6:C6"/>
    <mergeCell ref="B10:C10"/>
    <mergeCell ref="C13:D13"/>
    <mergeCell ref="C44:D44"/>
    <mergeCell ref="B24:C24"/>
    <mergeCell ref="B40:C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7:AA51"/>
  <sheetViews>
    <sheetView showGridLines="0" topLeftCell="A31" workbookViewId="0">
      <selection activeCell="Q46" sqref="Q46"/>
    </sheetView>
  </sheetViews>
  <sheetFormatPr baseColWidth="10" defaultRowHeight="15" x14ac:dyDescent="0.25"/>
  <cols>
    <col min="1" max="9" width="1.7109375" customWidth="1"/>
    <col min="10" max="10" width="9" customWidth="1"/>
    <col min="11" max="11" width="16.85546875" customWidth="1"/>
    <col min="12" max="12" width="8.5703125" customWidth="1"/>
    <col min="13" max="13" width="8.7109375" customWidth="1"/>
    <col min="14" max="14" width="8.140625" customWidth="1"/>
    <col min="16" max="16" width="14.140625" customWidth="1"/>
    <col min="17" max="17" width="7.42578125" customWidth="1"/>
    <col min="18" max="18" width="7" customWidth="1"/>
    <col min="19" max="19" width="8.85546875" customWidth="1"/>
    <col min="20" max="20" width="8.42578125" customWidth="1"/>
    <col min="21" max="21" width="6.85546875" customWidth="1"/>
    <col min="23" max="23" width="8.7109375" customWidth="1"/>
    <col min="24" max="24" width="13.140625" customWidth="1"/>
    <col min="25" max="25" width="7.85546875" customWidth="1"/>
  </cols>
  <sheetData>
    <row r="17" spans="10:27" ht="15.75" thickBot="1" x14ac:dyDescent="0.3">
      <c r="W17" s="86" t="s">
        <v>386</v>
      </c>
      <c r="X17" s="86"/>
      <c r="Y17">
        <v>300</v>
      </c>
    </row>
    <row r="18" spans="10:27" x14ac:dyDescent="0.25">
      <c r="K18" s="34" t="s">
        <v>321</v>
      </c>
      <c r="L18" s="31">
        <v>80</v>
      </c>
      <c r="W18" s="86" t="s">
        <v>387</v>
      </c>
      <c r="X18" s="86"/>
      <c r="Y18">
        <v>200</v>
      </c>
    </row>
    <row r="19" spans="10:27" x14ac:dyDescent="0.25">
      <c r="K19" s="35" t="s">
        <v>322</v>
      </c>
      <c r="L19" s="32">
        <v>60</v>
      </c>
      <c r="W19" s="86" t="s">
        <v>388</v>
      </c>
      <c r="X19" s="86"/>
      <c r="Y19">
        <v>200</v>
      </c>
    </row>
    <row r="20" spans="10:27" ht="15.75" thickBot="1" x14ac:dyDescent="0.3">
      <c r="K20" s="36" t="s">
        <v>323</v>
      </c>
      <c r="L20" s="33">
        <v>60</v>
      </c>
    </row>
    <row r="21" spans="10:27" x14ac:dyDescent="0.25">
      <c r="J21" s="29" t="s">
        <v>292</v>
      </c>
      <c r="K21" s="30" t="s">
        <v>1</v>
      </c>
      <c r="L21" s="30" t="s">
        <v>317</v>
      </c>
      <c r="M21" s="29" t="s">
        <v>318</v>
      </c>
      <c r="N21" s="29" t="s">
        <v>319</v>
      </c>
      <c r="O21" s="29" t="s">
        <v>2</v>
      </c>
      <c r="P21" s="29" t="s">
        <v>324</v>
      </c>
      <c r="R21" s="29" t="s">
        <v>325</v>
      </c>
      <c r="S21" s="30" t="s">
        <v>305</v>
      </c>
      <c r="T21" s="30" t="s">
        <v>326</v>
      </c>
      <c r="U21" s="29" t="s">
        <v>327</v>
      </c>
      <c r="V21" s="29" t="s">
        <v>328</v>
      </c>
      <c r="W21" s="29" t="s">
        <v>6</v>
      </c>
      <c r="X21" s="29" t="s">
        <v>329</v>
      </c>
      <c r="Y21" s="30" t="s">
        <v>330</v>
      </c>
      <c r="Z21" s="29" t="s">
        <v>304</v>
      </c>
      <c r="AA21" s="29" t="s">
        <v>324</v>
      </c>
    </row>
    <row r="22" spans="10:27" x14ac:dyDescent="0.25">
      <c r="J22" s="27">
        <v>5658</v>
      </c>
      <c r="K22" s="27" t="s">
        <v>320</v>
      </c>
      <c r="L22" s="27">
        <v>80</v>
      </c>
      <c r="M22" s="27">
        <v>95</v>
      </c>
      <c r="N22" s="27">
        <v>53</v>
      </c>
      <c r="O22" s="39">
        <f>+AVERAGE(L22:N22)</f>
        <v>76</v>
      </c>
      <c r="P22" s="27"/>
      <c r="R22" s="27" t="s">
        <v>331</v>
      </c>
      <c r="S22" s="27" t="s">
        <v>332</v>
      </c>
      <c r="T22" s="27">
        <v>52.44</v>
      </c>
      <c r="U22" s="27">
        <v>43</v>
      </c>
      <c r="V22" s="27" t="s">
        <v>333</v>
      </c>
      <c r="W22" s="28" t="s">
        <v>334</v>
      </c>
      <c r="X22" s="27">
        <v>31.98</v>
      </c>
      <c r="Y22" s="27" t="s">
        <v>335</v>
      </c>
      <c r="Z22" s="40">
        <v>229</v>
      </c>
      <c r="AA22" s="27" t="str">
        <f>+_xlfn.IFS(Z22&gt;=$Y$17,"excelente",Z22&gt;=$Y$18,"buenas",Z22&lt;$Y$19,"bajas")</f>
        <v>buenas</v>
      </c>
    </row>
    <row r="23" spans="10:27" x14ac:dyDescent="0.25">
      <c r="J23" s="27">
        <v>9242</v>
      </c>
      <c r="K23" s="27" t="s">
        <v>294</v>
      </c>
      <c r="L23" s="27">
        <v>72</v>
      </c>
      <c r="M23" s="27">
        <v>44</v>
      </c>
      <c r="N23" s="27">
        <v>57</v>
      </c>
      <c r="O23" s="38">
        <f t="shared" ref="O23:O51" si="0">+AVERAGE(L23:N23)</f>
        <v>57.666666666666664</v>
      </c>
      <c r="P23" s="27"/>
      <c r="R23" s="27" t="s">
        <v>336</v>
      </c>
      <c r="S23" s="27" t="s">
        <v>337</v>
      </c>
      <c r="T23" s="27">
        <v>66.33</v>
      </c>
      <c r="U23" s="27">
        <v>30</v>
      </c>
      <c r="V23" s="27" t="s">
        <v>338</v>
      </c>
      <c r="W23" s="28" t="s">
        <v>339</v>
      </c>
      <c r="X23" s="27">
        <v>13.95</v>
      </c>
      <c r="Y23" s="27" t="s">
        <v>340</v>
      </c>
      <c r="Z23" s="40">
        <v>329</v>
      </c>
      <c r="AA23" s="27" t="str">
        <f t="shared" ref="AA23:AA51" si="1">+_xlfn.IFS(Z23&gt;=$Y$17,"excelente",Z23&gt;=$Y$18,"buenas",Z23&lt;$Y$19,"bajas")</f>
        <v>excelente</v>
      </c>
    </row>
    <row r="24" spans="10:27" x14ac:dyDescent="0.25">
      <c r="J24" s="27">
        <v>1977</v>
      </c>
      <c r="K24" s="27" t="s">
        <v>320</v>
      </c>
      <c r="L24" s="27">
        <v>54</v>
      </c>
      <c r="M24" s="27">
        <v>72</v>
      </c>
      <c r="N24" s="27">
        <v>42</v>
      </c>
      <c r="O24" s="38">
        <f t="shared" si="0"/>
        <v>56</v>
      </c>
      <c r="P24" s="27"/>
      <c r="R24" s="27" t="s">
        <v>341</v>
      </c>
      <c r="S24" s="27" t="s">
        <v>337</v>
      </c>
      <c r="T24" s="27">
        <v>69.349999999999994</v>
      </c>
      <c r="U24" s="27">
        <v>65</v>
      </c>
      <c r="V24" s="27" t="s">
        <v>333</v>
      </c>
      <c r="W24" s="28" t="s">
        <v>334</v>
      </c>
      <c r="X24" s="27">
        <v>61.49</v>
      </c>
      <c r="Y24" s="27" t="s">
        <v>313</v>
      </c>
      <c r="Z24" s="40">
        <v>122</v>
      </c>
      <c r="AA24" s="27" t="str">
        <f t="shared" si="1"/>
        <v>bajas</v>
      </c>
    </row>
    <row r="25" spans="10:27" x14ac:dyDescent="0.25">
      <c r="J25" s="27">
        <v>6647</v>
      </c>
      <c r="K25" s="27" t="s">
        <v>296</v>
      </c>
      <c r="L25" s="27">
        <v>59</v>
      </c>
      <c r="M25" s="27">
        <v>41</v>
      </c>
      <c r="N25" s="27">
        <v>50</v>
      </c>
      <c r="O25" s="38">
        <f t="shared" si="0"/>
        <v>50</v>
      </c>
      <c r="P25" s="27"/>
      <c r="R25" s="27" t="s">
        <v>342</v>
      </c>
      <c r="S25" s="27" t="s">
        <v>343</v>
      </c>
      <c r="T25" s="27">
        <v>57</v>
      </c>
      <c r="U25" s="27">
        <v>99</v>
      </c>
      <c r="V25" s="27" t="s">
        <v>338</v>
      </c>
      <c r="W25" s="28" t="s">
        <v>344</v>
      </c>
      <c r="X25" s="27">
        <v>51.22</v>
      </c>
      <c r="Y25" s="27" t="s">
        <v>316</v>
      </c>
      <c r="Z25" s="40">
        <v>146</v>
      </c>
      <c r="AA25" s="27" t="str">
        <f t="shared" si="1"/>
        <v>bajas</v>
      </c>
    </row>
    <row r="26" spans="10:27" x14ac:dyDescent="0.25">
      <c r="J26" s="27">
        <v>1099</v>
      </c>
      <c r="K26" s="27" t="s">
        <v>320</v>
      </c>
      <c r="L26" s="27">
        <v>80</v>
      </c>
      <c r="M26" s="27">
        <v>85</v>
      </c>
      <c r="N26" s="27">
        <v>46</v>
      </c>
      <c r="O26" s="38">
        <f t="shared" si="0"/>
        <v>70.333333333333329</v>
      </c>
      <c r="P26" s="27"/>
      <c r="R26" s="27" t="s">
        <v>345</v>
      </c>
      <c r="S26" s="27" t="s">
        <v>337</v>
      </c>
      <c r="T26" s="27">
        <v>26.45</v>
      </c>
      <c r="U26" s="27">
        <v>35</v>
      </c>
      <c r="V26" s="27" t="s">
        <v>346</v>
      </c>
      <c r="W26" s="28" t="s">
        <v>339</v>
      </c>
      <c r="X26" s="27">
        <v>49.55</v>
      </c>
      <c r="Y26" s="27" t="s">
        <v>347</v>
      </c>
      <c r="Z26" s="40">
        <v>185</v>
      </c>
      <c r="AA26" s="27" t="str">
        <f t="shared" si="1"/>
        <v>bajas</v>
      </c>
    </row>
    <row r="27" spans="10:27" x14ac:dyDescent="0.25">
      <c r="J27" s="27">
        <v>6865</v>
      </c>
      <c r="K27" s="27" t="s">
        <v>296</v>
      </c>
      <c r="L27" s="27">
        <v>93</v>
      </c>
      <c r="M27" s="27">
        <v>64</v>
      </c>
      <c r="N27" s="27">
        <v>65</v>
      </c>
      <c r="O27" s="38">
        <f t="shared" si="0"/>
        <v>74</v>
      </c>
      <c r="P27" s="27"/>
      <c r="R27" s="27" t="s">
        <v>348</v>
      </c>
      <c r="S27" s="27" t="s">
        <v>332</v>
      </c>
      <c r="T27" s="27">
        <v>51.1</v>
      </c>
      <c r="U27" s="27">
        <v>75</v>
      </c>
      <c r="V27" s="27" t="s">
        <v>346</v>
      </c>
      <c r="W27" s="28" t="s">
        <v>344</v>
      </c>
      <c r="X27" s="27">
        <v>29.15</v>
      </c>
      <c r="Y27" s="27" t="s">
        <v>349</v>
      </c>
      <c r="Z27" s="40">
        <v>28</v>
      </c>
      <c r="AA27" s="27" t="str">
        <f t="shared" si="1"/>
        <v>bajas</v>
      </c>
    </row>
    <row r="28" spans="10:27" x14ac:dyDescent="0.25">
      <c r="J28" s="27">
        <v>2068</v>
      </c>
      <c r="K28" s="27" t="s">
        <v>296</v>
      </c>
      <c r="L28" s="27">
        <v>94</v>
      </c>
      <c r="M28" s="27">
        <v>98</v>
      </c>
      <c r="N28" s="27">
        <v>91</v>
      </c>
      <c r="O28" s="38">
        <f t="shared" si="0"/>
        <v>94.333333333333329</v>
      </c>
      <c r="P28" s="27"/>
      <c r="R28" s="27" t="s">
        <v>350</v>
      </c>
      <c r="S28" s="27" t="s">
        <v>332</v>
      </c>
      <c r="T28" s="27">
        <v>59.4</v>
      </c>
      <c r="U28" s="27">
        <v>73</v>
      </c>
      <c r="V28" s="27" t="s">
        <v>338</v>
      </c>
      <c r="W28" s="28" t="s">
        <v>339</v>
      </c>
      <c r="X28" s="27">
        <v>41.81</v>
      </c>
      <c r="Y28" s="27" t="s">
        <v>310</v>
      </c>
      <c r="Z28" s="40">
        <v>200</v>
      </c>
      <c r="AA28" s="27" t="str">
        <f t="shared" si="1"/>
        <v>buenas</v>
      </c>
    </row>
    <row r="29" spans="10:27" x14ac:dyDescent="0.25">
      <c r="J29" s="27">
        <v>9428</v>
      </c>
      <c r="K29" s="27" t="s">
        <v>296</v>
      </c>
      <c r="L29" s="27">
        <v>66</v>
      </c>
      <c r="M29" s="27">
        <v>77</v>
      </c>
      <c r="N29" s="27">
        <v>86</v>
      </c>
      <c r="O29" s="38">
        <f t="shared" si="0"/>
        <v>76.333333333333329</v>
      </c>
      <c r="P29" s="27"/>
      <c r="R29" s="27" t="s">
        <v>351</v>
      </c>
      <c r="S29" s="27" t="s">
        <v>332</v>
      </c>
      <c r="T29" s="27">
        <v>27.45</v>
      </c>
      <c r="U29" s="27">
        <v>74</v>
      </c>
      <c r="V29" s="27" t="s">
        <v>346</v>
      </c>
      <c r="W29" s="28" t="s">
        <v>339</v>
      </c>
      <c r="X29" s="27">
        <v>57.04</v>
      </c>
      <c r="Y29" s="27" t="s">
        <v>352</v>
      </c>
      <c r="Z29" s="40">
        <v>150</v>
      </c>
      <c r="AA29" s="27" t="str">
        <f t="shared" si="1"/>
        <v>bajas</v>
      </c>
    </row>
    <row r="30" spans="10:27" x14ac:dyDescent="0.25">
      <c r="J30" s="27">
        <v>6232</v>
      </c>
      <c r="K30" s="27" t="s">
        <v>294</v>
      </c>
      <c r="L30" s="27">
        <v>73</v>
      </c>
      <c r="M30" s="27">
        <v>70</v>
      </c>
      <c r="N30" s="27">
        <v>66</v>
      </c>
      <c r="O30" s="38">
        <f t="shared" si="0"/>
        <v>69.666666666666671</v>
      </c>
      <c r="P30" s="27"/>
      <c r="R30" s="27" t="s">
        <v>353</v>
      </c>
      <c r="S30" s="27" t="s">
        <v>343</v>
      </c>
      <c r="T30" s="27">
        <v>78.84</v>
      </c>
      <c r="U30" s="27">
        <v>76</v>
      </c>
      <c r="V30" s="27" t="s">
        <v>338</v>
      </c>
      <c r="W30" s="28" t="s">
        <v>344</v>
      </c>
      <c r="X30" s="27">
        <v>45.18</v>
      </c>
      <c r="Y30" s="27" t="s">
        <v>354</v>
      </c>
      <c r="Z30" s="40">
        <v>182</v>
      </c>
      <c r="AA30" s="27" t="str">
        <f t="shared" si="1"/>
        <v>bajas</v>
      </c>
    </row>
    <row r="31" spans="10:27" x14ac:dyDescent="0.25">
      <c r="J31" s="27">
        <v>9304</v>
      </c>
      <c r="K31" s="27" t="s">
        <v>294</v>
      </c>
      <c r="L31" s="27">
        <v>54</v>
      </c>
      <c r="M31" s="27">
        <v>45</v>
      </c>
      <c r="N31" s="27">
        <v>42</v>
      </c>
      <c r="O31" s="38">
        <f t="shared" si="0"/>
        <v>47</v>
      </c>
      <c r="P31" s="27"/>
      <c r="R31" s="27" t="s">
        <v>355</v>
      </c>
      <c r="S31" s="27" t="s">
        <v>343</v>
      </c>
      <c r="T31" s="27">
        <v>9.74</v>
      </c>
      <c r="U31" s="27">
        <v>57</v>
      </c>
      <c r="V31" s="27" t="s">
        <v>333</v>
      </c>
      <c r="W31" s="28" t="s">
        <v>339</v>
      </c>
      <c r="X31" s="27">
        <v>76.02</v>
      </c>
      <c r="Y31" s="27" t="s">
        <v>356</v>
      </c>
      <c r="Z31" s="40">
        <v>440</v>
      </c>
      <c r="AA31" s="27" t="str">
        <f t="shared" si="1"/>
        <v>excelente</v>
      </c>
    </row>
    <row r="32" spans="10:27" x14ac:dyDescent="0.25">
      <c r="J32" s="27">
        <v>3070</v>
      </c>
      <c r="K32" s="27" t="s">
        <v>294</v>
      </c>
      <c r="L32" s="27">
        <v>99</v>
      </c>
      <c r="M32" s="27">
        <v>84</v>
      </c>
      <c r="N32" s="27">
        <v>74</v>
      </c>
      <c r="O32" s="38">
        <f t="shared" si="0"/>
        <v>85.666666666666671</v>
      </c>
      <c r="P32" s="27"/>
      <c r="R32" s="27" t="s">
        <v>357</v>
      </c>
      <c r="S32" s="27" t="s">
        <v>332</v>
      </c>
      <c r="T32" s="27">
        <v>91.36</v>
      </c>
      <c r="U32" s="27">
        <v>40</v>
      </c>
      <c r="V32" s="27" t="s">
        <v>346</v>
      </c>
      <c r="W32" s="28" t="s">
        <v>334</v>
      </c>
      <c r="X32" s="27">
        <v>23.65</v>
      </c>
      <c r="Y32" s="27" t="s">
        <v>340</v>
      </c>
      <c r="Z32" s="40">
        <v>418</v>
      </c>
      <c r="AA32" s="27" t="str">
        <f t="shared" si="1"/>
        <v>excelente</v>
      </c>
    </row>
    <row r="33" spans="10:27" x14ac:dyDescent="0.25">
      <c r="J33" s="27">
        <v>1574</v>
      </c>
      <c r="K33" s="27" t="s">
        <v>294</v>
      </c>
      <c r="L33" s="27">
        <v>53</v>
      </c>
      <c r="M33" s="27">
        <v>83</v>
      </c>
      <c r="N33" s="27">
        <v>43</v>
      </c>
      <c r="O33" s="38">
        <f t="shared" si="0"/>
        <v>59.666666666666664</v>
      </c>
      <c r="P33" s="27"/>
      <c r="R33" s="27" t="s">
        <v>358</v>
      </c>
      <c r="S33" s="27" t="s">
        <v>343</v>
      </c>
      <c r="T33" s="27">
        <v>67</v>
      </c>
      <c r="U33" s="27">
        <v>43</v>
      </c>
      <c r="V33" s="27" t="s">
        <v>333</v>
      </c>
      <c r="W33" s="28" t="s">
        <v>334</v>
      </c>
      <c r="X33" s="27">
        <v>63.68</v>
      </c>
      <c r="Y33" s="27" t="s">
        <v>359</v>
      </c>
      <c r="Z33" s="40">
        <v>192</v>
      </c>
      <c r="AA33" s="27" t="str">
        <f t="shared" si="1"/>
        <v>bajas</v>
      </c>
    </row>
    <row r="34" spans="10:27" x14ac:dyDescent="0.25">
      <c r="J34" s="27">
        <v>9769</v>
      </c>
      <c r="K34" s="27" t="s">
        <v>320</v>
      </c>
      <c r="L34" s="27">
        <v>61</v>
      </c>
      <c r="M34" s="27">
        <v>83</v>
      </c>
      <c r="N34" s="27">
        <v>83</v>
      </c>
      <c r="O34" s="38">
        <f t="shared" si="0"/>
        <v>75.666666666666671</v>
      </c>
      <c r="P34" s="27"/>
      <c r="R34" s="27" t="s">
        <v>360</v>
      </c>
      <c r="S34" s="27" t="s">
        <v>337</v>
      </c>
      <c r="T34" s="27">
        <v>39.020000000000003</v>
      </c>
      <c r="U34" s="27">
        <v>100</v>
      </c>
      <c r="V34" s="27" t="s">
        <v>338</v>
      </c>
      <c r="W34" s="28" t="s">
        <v>334</v>
      </c>
      <c r="X34" s="27">
        <v>72.77</v>
      </c>
      <c r="Y34" s="27" t="s">
        <v>359</v>
      </c>
      <c r="Z34" s="40">
        <v>97</v>
      </c>
      <c r="AA34" s="27" t="str">
        <f t="shared" si="1"/>
        <v>bajas</v>
      </c>
    </row>
    <row r="35" spans="10:27" x14ac:dyDescent="0.25">
      <c r="J35" s="27">
        <v>3121</v>
      </c>
      <c r="K35" s="27" t="s">
        <v>296</v>
      </c>
      <c r="L35" s="27">
        <v>45</v>
      </c>
      <c r="M35" s="27">
        <v>60</v>
      </c>
      <c r="N35" s="27">
        <v>88</v>
      </c>
      <c r="O35" s="38">
        <f t="shared" si="0"/>
        <v>64.333333333333329</v>
      </c>
      <c r="P35" s="27"/>
      <c r="R35" s="27" t="s">
        <v>361</v>
      </c>
      <c r="S35" s="27" t="s">
        <v>343</v>
      </c>
      <c r="T35" s="27">
        <v>84.64</v>
      </c>
      <c r="U35" s="27">
        <v>31</v>
      </c>
      <c r="V35" s="27" t="s">
        <v>338</v>
      </c>
      <c r="W35" s="28" t="s">
        <v>344</v>
      </c>
      <c r="X35" s="27">
        <v>64.599999999999994</v>
      </c>
      <c r="Y35" s="27" t="s">
        <v>315</v>
      </c>
      <c r="Z35" s="40">
        <v>88</v>
      </c>
      <c r="AA35" s="27" t="str">
        <f t="shared" si="1"/>
        <v>bajas</v>
      </c>
    </row>
    <row r="36" spans="10:27" x14ac:dyDescent="0.25">
      <c r="J36" s="27">
        <v>2757</v>
      </c>
      <c r="K36" s="27" t="s">
        <v>320</v>
      </c>
      <c r="L36" s="27">
        <v>49</v>
      </c>
      <c r="M36" s="27">
        <v>84</v>
      </c>
      <c r="N36" s="27">
        <v>99</v>
      </c>
      <c r="O36" s="38">
        <f t="shared" si="0"/>
        <v>77.333333333333329</v>
      </c>
      <c r="P36" s="27"/>
      <c r="R36" s="27" t="s">
        <v>362</v>
      </c>
      <c r="S36" s="27" t="s">
        <v>337</v>
      </c>
      <c r="T36" s="27">
        <v>9.17</v>
      </c>
      <c r="U36" s="27">
        <v>5</v>
      </c>
      <c r="V36" s="27" t="s">
        <v>346</v>
      </c>
      <c r="W36" s="28" t="s">
        <v>344</v>
      </c>
      <c r="X36" s="27">
        <v>72.22</v>
      </c>
      <c r="Y36" s="27" t="s">
        <v>311</v>
      </c>
      <c r="Z36" s="40">
        <v>224</v>
      </c>
      <c r="AA36" s="27" t="str">
        <f t="shared" si="1"/>
        <v>buenas</v>
      </c>
    </row>
    <row r="37" spans="10:27" x14ac:dyDescent="0.25">
      <c r="J37" s="27">
        <v>3802</v>
      </c>
      <c r="K37" s="27" t="s">
        <v>294</v>
      </c>
      <c r="L37" s="27">
        <v>46</v>
      </c>
      <c r="M37" s="27">
        <v>55</v>
      </c>
      <c r="N37" s="27">
        <v>62</v>
      </c>
      <c r="O37" s="38">
        <f t="shared" si="0"/>
        <v>54.333333333333336</v>
      </c>
      <c r="P37" s="27"/>
      <c r="R37" s="27" t="s">
        <v>363</v>
      </c>
      <c r="S37" s="27" t="s">
        <v>332</v>
      </c>
      <c r="T37" s="27">
        <v>55.91</v>
      </c>
      <c r="U37" s="27">
        <v>31</v>
      </c>
      <c r="V37" s="27" t="s">
        <v>338</v>
      </c>
      <c r="W37" s="28" t="s">
        <v>334</v>
      </c>
      <c r="X37" s="27">
        <v>44.79</v>
      </c>
      <c r="Y37" s="27" t="s">
        <v>309</v>
      </c>
      <c r="Z37" s="40">
        <v>422</v>
      </c>
      <c r="AA37" s="27" t="str">
        <f t="shared" si="1"/>
        <v>excelente</v>
      </c>
    </row>
    <row r="38" spans="10:27" x14ac:dyDescent="0.25">
      <c r="J38" s="27">
        <v>9501</v>
      </c>
      <c r="K38" s="27" t="s">
        <v>296</v>
      </c>
      <c r="L38" s="27">
        <v>74</v>
      </c>
      <c r="M38" s="27">
        <v>96</v>
      </c>
      <c r="N38" s="27">
        <v>40</v>
      </c>
      <c r="O38" s="38">
        <f t="shared" si="0"/>
        <v>70</v>
      </c>
      <c r="P38" s="27"/>
      <c r="R38" s="27" t="s">
        <v>364</v>
      </c>
      <c r="S38" s="27" t="s">
        <v>332</v>
      </c>
      <c r="T38" s="27">
        <v>31.7</v>
      </c>
      <c r="U38" s="27">
        <v>38</v>
      </c>
      <c r="V38" s="27" t="s">
        <v>338</v>
      </c>
      <c r="W38" s="28" t="s">
        <v>334</v>
      </c>
      <c r="X38" s="27">
        <v>49.85</v>
      </c>
      <c r="Y38" s="27" t="s">
        <v>349</v>
      </c>
      <c r="Z38" s="40">
        <v>174</v>
      </c>
      <c r="AA38" s="27" t="str">
        <f t="shared" si="1"/>
        <v>bajas</v>
      </c>
    </row>
    <row r="39" spans="10:27" x14ac:dyDescent="0.25">
      <c r="J39" s="27">
        <v>8939</v>
      </c>
      <c r="K39" s="27" t="s">
        <v>320</v>
      </c>
      <c r="L39" s="27">
        <v>84</v>
      </c>
      <c r="M39" s="27">
        <v>70</v>
      </c>
      <c r="N39" s="27">
        <v>49</v>
      </c>
      <c r="O39" s="38">
        <f t="shared" si="0"/>
        <v>67.666666666666671</v>
      </c>
      <c r="P39" s="27"/>
      <c r="R39" s="27" t="s">
        <v>365</v>
      </c>
      <c r="S39" s="27" t="s">
        <v>343</v>
      </c>
      <c r="T39" s="27">
        <v>71.87</v>
      </c>
      <c r="U39" s="27">
        <v>52</v>
      </c>
      <c r="V39" s="27" t="s">
        <v>338</v>
      </c>
      <c r="W39" s="28" t="s">
        <v>344</v>
      </c>
      <c r="X39" s="27">
        <v>28.1</v>
      </c>
      <c r="Y39" s="27" t="s">
        <v>366</v>
      </c>
      <c r="Z39" s="40">
        <v>327</v>
      </c>
      <c r="AA39" s="27" t="str">
        <f t="shared" si="1"/>
        <v>excelente</v>
      </c>
    </row>
    <row r="40" spans="10:27" x14ac:dyDescent="0.25">
      <c r="J40" s="27">
        <v>9324</v>
      </c>
      <c r="K40" s="27" t="s">
        <v>320</v>
      </c>
      <c r="L40" s="27">
        <v>73</v>
      </c>
      <c r="M40" s="27">
        <v>69</v>
      </c>
      <c r="N40" s="27">
        <v>40</v>
      </c>
      <c r="O40" s="38">
        <f t="shared" si="0"/>
        <v>60.666666666666664</v>
      </c>
      <c r="P40" s="27"/>
      <c r="R40" s="27" t="s">
        <v>367</v>
      </c>
      <c r="S40" s="27" t="s">
        <v>332</v>
      </c>
      <c r="T40" s="27">
        <v>6.39</v>
      </c>
      <c r="U40" s="27">
        <v>32</v>
      </c>
      <c r="V40" s="27" t="s">
        <v>338</v>
      </c>
      <c r="W40" s="28" t="s">
        <v>339</v>
      </c>
      <c r="X40" s="27">
        <v>16.559999999999999</v>
      </c>
      <c r="Y40" s="27" t="s">
        <v>368</v>
      </c>
      <c r="Z40" s="40">
        <v>151</v>
      </c>
      <c r="AA40" s="27" t="e">
        <f ca="1">+_xlfn.IFS(Z40&gt;=$Y$17,"excelente",Z40&gt;=$Y$18,"buenas",Z40&lt;$Y$19,"bajas")</f>
        <v>#NAME?</v>
      </c>
    </row>
    <row r="41" spans="10:27" x14ac:dyDescent="0.25">
      <c r="J41" s="27">
        <v>8072</v>
      </c>
      <c r="K41" s="27" t="s">
        <v>296</v>
      </c>
      <c r="L41" s="27">
        <v>87</v>
      </c>
      <c r="M41" s="27">
        <v>41</v>
      </c>
      <c r="N41" s="27">
        <v>90</v>
      </c>
      <c r="O41" s="38">
        <f t="shared" si="0"/>
        <v>72.666666666666671</v>
      </c>
      <c r="P41" s="27"/>
      <c r="R41" s="27" t="s">
        <v>369</v>
      </c>
      <c r="S41" s="27" t="s">
        <v>337</v>
      </c>
      <c r="T41" s="27">
        <v>94.51</v>
      </c>
      <c r="U41" s="27">
        <v>69</v>
      </c>
      <c r="V41" s="27" t="s">
        <v>338</v>
      </c>
      <c r="W41" s="28" t="s">
        <v>344</v>
      </c>
      <c r="X41" s="27">
        <v>70.69</v>
      </c>
      <c r="Y41" s="27" t="s">
        <v>309</v>
      </c>
      <c r="Z41" s="40">
        <v>194</v>
      </c>
      <c r="AA41" s="27" t="str">
        <f t="shared" si="1"/>
        <v>bajas</v>
      </c>
    </row>
    <row r="42" spans="10:27" x14ac:dyDescent="0.25">
      <c r="J42" s="27">
        <v>8737</v>
      </c>
      <c r="K42" s="27" t="s">
        <v>296</v>
      </c>
      <c r="L42" s="27">
        <v>65</v>
      </c>
      <c r="M42" s="27">
        <v>45</v>
      </c>
      <c r="N42" s="27">
        <v>89</v>
      </c>
      <c r="O42" s="38">
        <f t="shared" si="0"/>
        <v>66.333333333333329</v>
      </c>
      <c r="P42" s="27"/>
      <c r="R42" s="27" t="s">
        <v>370</v>
      </c>
      <c r="S42" s="27" t="s">
        <v>332</v>
      </c>
      <c r="T42" s="27">
        <v>60.27</v>
      </c>
      <c r="U42" s="27">
        <v>52</v>
      </c>
      <c r="V42" s="27" t="s">
        <v>346</v>
      </c>
      <c r="W42" s="28" t="s">
        <v>339</v>
      </c>
      <c r="X42" s="27">
        <v>16.86</v>
      </c>
      <c r="Y42" s="27" t="s">
        <v>371</v>
      </c>
      <c r="Z42" s="40">
        <v>82</v>
      </c>
      <c r="AA42" s="27" t="str">
        <f t="shared" si="1"/>
        <v>bajas</v>
      </c>
    </row>
    <row r="43" spans="10:27" x14ac:dyDescent="0.25">
      <c r="J43" s="27">
        <v>1315</v>
      </c>
      <c r="K43" s="27" t="s">
        <v>296</v>
      </c>
      <c r="L43" s="27">
        <v>100</v>
      </c>
      <c r="M43" s="27">
        <v>91</v>
      </c>
      <c r="N43" s="27">
        <v>62</v>
      </c>
      <c r="O43" s="38">
        <f t="shared" si="0"/>
        <v>84.333333333333329</v>
      </c>
      <c r="P43" s="27"/>
      <c r="R43" s="27" t="s">
        <v>372</v>
      </c>
      <c r="S43" s="27" t="s">
        <v>337</v>
      </c>
      <c r="T43" s="27">
        <v>61.36</v>
      </c>
      <c r="U43" s="27">
        <v>92</v>
      </c>
      <c r="V43" s="27" t="s">
        <v>338</v>
      </c>
      <c r="W43" s="28" t="s">
        <v>334</v>
      </c>
      <c r="X43" s="27">
        <v>30.15</v>
      </c>
      <c r="Y43" s="27" t="s">
        <v>373</v>
      </c>
      <c r="Z43" s="40">
        <v>316</v>
      </c>
      <c r="AA43" s="27" t="str">
        <f t="shared" si="1"/>
        <v>excelente</v>
      </c>
    </row>
    <row r="44" spans="10:27" x14ac:dyDescent="0.25">
      <c r="J44" s="27">
        <v>1628</v>
      </c>
      <c r="K44" s="27" t="s">
        <v>294</v>
      </c>
      <c r="L44" s="27">
        <v>85</v>
      </c>
      <c r="M44" s="27">
        <v>43</v>
      </c>
      <c r="N44" s="27">
        <v>90</v>
      </c>
      <c r="O44" s="38">
        <f t="shared" si="0"/>
        <v>72.666666666666671</v>
      </c>
      <c r="P44" s="27"/>
      <c r="R44" s="27" t="s">
        <v>374</v>
      </c>
      <c r="S44" s="27" t="s">
        <v>343</v>
      </c>
      <c r="T44" s="27">
        <v>49.27</v>
      </c>
      <c r="U44" s="27">
        <v>27</v>
      </c>
      <c r="V44" s="27" t="s">
        <v>338</v>
      </c>
      <c r="W44" s="28" t="s">
        <v>334</v>
      </c>
      <c r="X44" s="27">
        <v>10.4</v>
      </c>
      <c r="Y44" s="27" t="s">
        <v>375</v>
      </c>
      <c r="Z44" s="40">
        <v>224</v>
      </c>
      <c r="AA44" s="27" t="str">
        <f t="shared" si="1"/>
        <v>buenas</v>
      </c>
    </row>
    <row r="45" spans="10:27" x14ac:dyDescent="0.25">
      <c r="J45" s="27">
        <v>2394</v>
      </c>
      <c r="K45" s="27" t="s">
        <v>294</v>
      </c>
      <c r="L45" s="27">
        <v>90</v>
      </c>
      <c r="M45" s="27">
        <v>95</v>
      </c>
      <c r="N45" s="27">
        <v>51</v>
      </c>
      <c r="O45" s="38">
        <f t="shared" si="0"/>
        <v>78.666666666666671</v>
      </c>
      <c r="P45" s="27"/>
      <c r="R45" s="27" t="s">
        <v>376</v>
      </c>
      <c r="S45" s="27" t="s">
        <v>332</v>
      </c>
      <c r="T45" s="27">
        <v>85.54</v>
      </c>
      <c r="U45" s="27">
        <v>45</v>
      </c>
      <c r="V45" s="27" t="s">
        <v>338</v>
      </c>
      <c r="W45" s="28" t="s">
        <v>334</v>
      </c>
      <c r="X45" s="27">
        <v>17.579999999999998</v>
      </c>
      <c r="Y45" s="27" t="s">
        <v>377</v>
      </c>
      <c r="Z45" s="40">
        <v>469</v>
      </c>
      <c r="AA45" s="27" t="str">
        <f t="shared" si="1"/>
        <v>excelente</v>
      </c>
    </row>
    <row r="46" spans="10:27" x14ac:dyDescent="0.25">
      <c r="J46" s="27">
        <v>1264</v>
      </c>
      <c r="K46" s="27" t="s">
        <v>296</v>
      </c>
      <c r="L46" s="27">
        <v>97</v>
      </c>
      <c r="M46" s="27">
        <v>42</v>
      </c>
      <c r="N46" s="27">
        <v>41</v>
      </c>
      <c r="O46" s="38">
        <f t="shared" si="0"/>
        <v>60</v>
      </c>
      <c r="P46" s="27"/>
      <c r="R46" s="27" t="s">
        <v>378</v>
      </c>
      <c r="S46" s="27" t="s">
        <v>337</v>
      </c>
      <c r="T46" s="27">
        <v>77.22</v>
      </c>
      <c r="U46" s="27">
        <v>89</v>
      </c>
      <c r="V46" s="27" t="s">
        <v>333</v>
      </c>
      <c r="W46" s="28" t="s">
        <v>334</v>
      </c>
      <c r="X46" s="27">
        <v>73.239999999999995</v>
      </c>
      <c r="Y46" s="27" t="s">
        <v>316</v>
      </c>
      <c r="Z46" s="40">
        <v>195</v>
      </c>
      <c r="AA46" s="27" t="str">
        <f t="shared" si="1"/>
        <v>bajas</v>
      </c>
    </row>
    <row r="47" spans="10:27" x14ac:dyDescent="0.25">
      <c r="J47" s="27">
        <v>4697</v>
      </c>
      <c r="K47" s="27" t="s">
        <v>294</v>
      </c>
      <c r="L47" s="27">
        <v>44</v>
      </c>
      <c r="M47" s="27">
        <v>78</v>
      </c>
      <c r="N47" s="27">
        <v>50</v>
      </c>
      <c r="O47" s="38">
        <f t="shared" si="0"/>
        <v>57.333333333333336</v>
      </c>
      <c r="P47" s="27"/>
      <c r="R47" s="27" t="s">
        <v>379</v>
      </c>
      <c r="S47" s="27" t="s">
        <v>332</v>
      </c>
      <c r="T47" s="27">
        <v>32.15</v>
      </c>
      <c r="U47" s="27">
        <v>72</v>
      </c>
      <c r="V47" s="27" t="s">
        <v>338</v>
      </c>
      <c r="W47" s="28" t="s">
        <v>339</v>
      </c>
      <c r="X47" s="27">
        <v>57.99</v>
      </c>
      <c r="Y47" s="27" t="s">
        <v>380</v>
      </c>
      <c r="Z47" s="40">
        <v>171</v>
      </c>
      <c r="AA47" s="27" t="str">
        <f t="shared" si="1"/>
        <v>bajas</v>
      </c>
    </row>
    <row r="48" spans="10:27" x14ac:dyDescent="0.25">
      <c r="J48" s="27">
        <v>1762</v>
      </c>
      <c r="K48" s="27" t="s">
        <v>296</v>
      </c>
      <c r="L48" s="27">
        <v>47</v>
      </c>
      <c r="M48" s="27">
        <v>49</v>
      </c>
      <c r="N48" s="27">
        <v>95</v>
      </c>
      <c r="O48" s="38">
        <f t="shared" si="0"/>
        <v>63.666666666666664</v>
      </c>
      <c r="P48" s="27"/>
      <c r="R48" s="27" t="s">
        <v>381</v>
      </c>
      <c r="S48" s="27" t="s">
        <v>332</v>
      </c>
      <c r="T48" s="27">
        <v>37.58</v>
      </c>
      <c r="U48" s="27">
        <v>51</v>
      </c>
      <c r="V48" s="27" t="s">
        <v>338</v>
      </c>
      <c r="W48" s="28" t="s">
        <v>334</v>
      </c>
      <c r="X48" s="27">
        <v>62.86</v>
      </c>
      <c r="Y48" s="27" t="s">
        <v>309</v>
      </c>
      <c r="Z48" s="40">
        <v>500</v>
      </c>
      <c r="AA48" s="27" t="str">
        <f t="shared" si="1"/>
        <v>excelente</v>
      </c>
    </row>
    <row r="49" spans="10:27" x14ac:dyDescent="0.25">
      <c r="J49" s="27">
        <v>5488</v>
      </c>
      <c r="K49" s="27" t="s">
        <v>296</v>
      </c>
      <c r="L49" s="27">
        <v>74</v>
      </c>
      <c r="M49" s="27">
        <v>46</v>
      </c>
      <c r="N49" s="27">
        <v>49</v>
      </c>
      <c r="O49" s="38">
        <f t="shared" si="0"/>
        <v>56.333333333333336</v>
      </c>
      <c r="P49" s="27"/>
      <c r="R49" s="27" t="s">
        <v>382</v>
      </c>
      <c r="S49" s="27" t="s">
        <v>337</v>
      </c>
      <c r="T49" s="27">
        <v>53.92</v>
      </c>
      <c r="U49" s="27">
        <v>37</v>
      </c>
      <c r="V49" s="27" t="s">
        <v>338</v>
      </c>
      <c r="W49" s="28" t="s">
        <v>334</v>
      </c>
      <c r="X49" s="27">
        <v>72.5</v>
      </c>
      <c r="Y49" s="27" t="s">
        <v>373</v>
      </c>
      <c r="Z49" s="40">
        <v>97</v>
      </c>
      <c r="AA49" s="27" t="str">
        <f t="shared" si="1"/>
        <v>bajas</v>
      </c>
    </row>
    <row r="50" spans="10:27" x14ac:dyDescent="0.25">
      <c r="J50" s="27">
        <v>7280</v>
      </c>
      <c r="K50" s="27" t="s">
        <v>294</v>
      </c>
      <c r="L50" s="27">
        <v>98</v>
      </c>
      <c r="M50" s="27">
        <v>53</v>
      </c>
      <c r="N50" s="27">
        <v>43</v>
      </c>
      <c r="O50" s="38">
        <f t="shared" si="0"/>
        <v>64.666666666666671</v>
      </c>
      <c r="P50" s="27"/>
      <c r="R50" s="27" t="s">
        <v>383</v>
      </c>
      <c r="S50" s="27" t="s">
        <v>337</v>
      </c>
      <c r="T50" s="27">
        <v>99.01</v>
      </c>
      <c r="U50" s="27">
        <v>5</v>
      </c>
      <c r="V50" s="27" t="s">
        <v>333</v>
      </c>
      <c r="W50" s="28" t="s">
        <v>344</v>
      </c>
      <c r="X50" s="27">
        <v>33.93</v>
      </c>
      <c r="Y50" s="27" t="s">
        <v>380</v>
      </c>
      <c r="Z50" s="40">
        <v>31</v>
      </c>
      <c r="AA50" s="27" t="str">
        <f t="shared" si="1"/>
        <v>bajas</v>
      </c>
    </row>
    <row r="51" spans="10:27" x14ac:dyDescent="0.25">
      <c r="J51" s="27">
        <v>7251</v>
      </c>
      <c r="K51" s="27" t="s">
        <v>294</v>
      </c>
      <c r="L51" s="27">
        <v>97</v>
      </c>
      <c r="M51" s="27">
        <v>58</v>
      </c>
      <c r="N51" s="27">
        <v>53</v>
      </c>
      <c r="O51" s="38">
        <f t="shared" si="0"/>
        <v>69.333333333333329</v>
      </c>
      <c r="P51" s="27"/>
      <c r="R51" s="27" t="s">
        <v>384</v>
      </c>
      <c r="S51" s="27" t="s">
        <v>343</v>
      </c>
      <c r="T51" s="27">
        <v>68.400000000000006</v>
      </c>
      <c r="U51" s="27">
        <v>34</v>
      </c>
      <c r="V51" s="27" t="s">
        <v>346</v>
      </c>
      <c r="W51" s="28" t="s">
        <v>339</v>
      </c>
      <c r="X51" s="27">
        <v>13.61</v>
      </c>
      <c r="Y51" s="27" t="s">
        <v>385</v>
      </c>
      <c r="Z51" s="40">
        <v>354</v>
      </c>
      <c r="AA51" s="27" t="str">
        <f t="shared" si="1"/>
        <v>excelente</v>
      </c>
    </row>
  </sheetData>
  <mergeCells count="3">
    <mergeCell ref="W17:X17"/>
    <mergeCell ref="W18:X18"/>
    <mergeCell ref="W19:X19"/>
  </mergeCells>
  <pageMargins left="0.7" right="0.7" top="0.75" bottom="0.75" header="0.3" footer="0.3"/>
  <ignoredErrors>
    <ignoredError sqref="Y22:Y5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N44"/>
  <sheetViews>
    <sheetView showGridLines="0" topLeftCell="B10" zoomScale="140" zoomScaleNormal="140" workbookViewId="0">
      <selection activeCell="N18" sqref="N18"/>
    </sheetView>
  </sheetViews>
  <sheetFormatPr baseColWidth="10" defaultRowHeight="15" x14ac:dyDescent="0.25"/>
  <cols>
    <col min="6" max="6" width="14.7109375" customWidth="1"/>
    <col min="8" max="8" width="11.5703125" bestFit="1" customWidth="1"/>
    <col min="9" max="9" width="11.7109375" bestFit="1" customWidth="1"/>
  </cols>
  <sheetData>
    <row r="14" spans="3:14" x14ac:dyDescent="0.25">
      <c r="C14" s="41" t="s">
        <v>389</v>
      </c>
      <c r="D14" s="41" t="s">
        <v>390</v>
      </c>
      <c r="E14" s="41" t="s">
        <v>391</v>
      </c>
      <c r="F14" s="41" t="s">
        <v>392</v>
      </c>
      <c r="G14" s="41" t="s">
        <v>307</v>
      </c>
      <c r="H14" s="41" t="s">
        <v>306</v>
      </c>
      <c r="I14" s="41" t="s">
        <v>393</v>
      </c>
      <c r="J14" s="41" t="s">
        <v>394</v>
      </c>
      <c r="L14" s="8" t="s">
        <v>447</v>
      </c>
    </row>
    <row r="15" spans="3:14" x14ac:dyDescent="0.25">
      <c r="C15" s="42" t="s">
        <v>395</v>
      </c>
      <c r="D15" s="42" t="s">
        <v>396</v>
      </c>
      <c r="E15" s="42" t="s">
        <v>397</v>
      </c>
      <c r="F15" s="42" t="s">
        <v>398</v>
      </c>
      <c r="G15" s="42" t="s">
        <v>399</v>
      </c>
      <c r="H15" s="43">
        <v>0.39</v>
      </c>
      <c r="I15" s="43">
        <v>523.80999999999995</v>
      </c>
      <c r="J15" s="42">
        <v>76</v>
      </c>
    </row>
    <row r="16" spans="3:14" x14ac:dyDescent="0.25">
      <c r="C16" s="42" t="s">
        <v>293</v>
      </c>
      <c r="D16" s="42" t="s">
        <v>400</v>
      </c>
      <c r="E16" s="42" t="s">
        <v>443</v>
      </c>
      <c r="F16" s="42" t="s">
        <v>402</v>
      </c>
      <c r="G16" s="42" t="s">
        <v>403</v>
      </c>
      <c r="H16" s="43">
        <v>14.83</v>
      </c>
      <c r="I16" s="43">
        <v>495.28</v>
      </c>
      <c r="J16" s="42">
        <v>81</v>
      </c>
      <c r="L16" s="45" t="s">
        <v>440</v>
      </c>
      <c r="N16" s="44">
        <f>SUMIFS(I15:I44,E15:E44,"Arroz",F15:F44,"Efectivo")</f>
        <v>1317.1</v>
      </c>
    </row>
    <row r="17" spans="3:14" x14ac:dyDescent="0.25">
      <c r="C17" s="42" t="s">
        <v>297</v>
      </c>
      <c r="D17" s="42" t="s">
        <v>396</v>
      </c>
      <c r="E17" s="42" t="s">
        <v>397</v>
      </c>
      <c r="F17" s="42" t="s">
        <v>404</v>
      </c>
      <c r="G17" s="42" t="s">
        <v>405</v>
      </c>
      <c r="H17" s="43">
        <v>14.24</v>
      </c>
      <c r="I17" s="43">
        <v>164.84</v>
      </c>
      <c r="J17" s="42">
        <v>36</v>
      </c>
    </row>
    <row r="18" spans="3:14" x14ac:dyDescent="0.25">
      <c r="C18" s="42" t="s">
        <v>395</v>
      </c>
      <c r="D18" s="42" t="s">
        <v>400</v>
      </c>
      <c r="E18" s="42" t="s">
        <v>406</v>
      </c>
      <c r="F18" s="42" t="s">
        <v>402</v>
      </c>
      <c r="G18" s="42" t="s">
        <v>407</v>
      </c>
      <c r="H18" s="43">
        <v>3.12</v>
      </c>
      <c r="I18" s="43">
        <v>397.81</v>
      </c>
      <c r="J18" s="42">
        <v>59</v>
      </c>
      <c r="L18" s="45" t="s">
        <v>441</v>
      </c>
      <c r="N18" s="44">
        <f>SUMIFS(I15:I44,E15:E44,"Arroz",F15:F44,"Transferencia")</f>
        <v>523.80999999999995</v>
      </c>
    </row>
    <row r="19" spans="3:14" x14ac:dyDescent="0.25">
      <c r="C19" s="42" t="s">
        <v>296</v>
      </c>
      <c r="D19" s="42" t="s">
        <v>400</v>
      </c>
      <c r="E19" s="42" t="s">
        <v>401</v>
      </c>
      <c r="F19" s="42" t="s">
        <v>402</v>
      </c>
      <c r="G19" s="42" t="s">
        <v>408</v>
      </c>
      <c r="H19" s="43">
        <v>13.43</v>
      </c>
      <c r="I19" s="43">
        <v>753.29</v>
      </c>
      <c r="J19" s="42">
        <v>49</v>
      </c>
    </row>
    <row r="20" spans="3:14" x14ac:dyDescent="0.25">
      <c r="C20" s="42" t="s">
        <v>293</v>
      </c>
      <c r="D20" s="42" t="s">
        <v>409</v>
      </c>
      <c r="E20" s="42" t="s">
        <v>410</v>
      </c>
      <c r="F20" s="42" t="s">
        <v>404</v>
      </c>
      <c r="G20" s="42" t="s">
        <v>411</v>
      </c>
      <c r="H20" s="43">
        <v>9.8000000000000007</v>
      </c>
      <c r="I20" s="43">
        <v>96.99</v>
      </c>
      <c r="J20" s="42">
        <v>37</v>
      </c>
      <c r="L20" s="45" t="s">
        <v>442</v>
      </c>
      <c r="N20" s="44"/>
    </row>
    <row r="21" spans="3:14" x14ac:dyDescent="0.25">
      <c r="C21" s="42" t="s">
        <v>297</v>
      </c>
      <c r="D21" s="42" t="s">
        <v>396</v>
      </c>
      <c r="E21" s="42" t="s">
        <v>401</v>
      </c>
      <c r="F21" s="42" t="s">
        <v>412</v>
      </c>
      <c r="G21" s="42" t="s">
        <v>413</v>
      </c>
      <c r="H21" s="43">
        <v>2.81</v>
      </c>
      <c r="I21" s="43">
        <v>22.05</v>
      </c>
      <c r="J21" s="42">
        <v>2</v>
      </c>
    </row>
    <row r="22" spans="3:14" x14ac:dyDescent="0.25">
      <c r="C22" s="42" t="s">
        <v>296</v>
      </c>
      <c r="D22" s="42" t="s">
        <v>409</v>
      </c>
      <c r="E22" s="42" t="s">
        <v>401</v>
      </c>
      <c r="F22" s="42" t="s">
        <v>402</v>
      </c>
      <c r="G22" s="42" t="s">
        <v>414</v>
      </c>
      <c r="H22" s="43">
        <v>10.26</v>
      </c>
      <c r="I22" s="43">
        <v>639.01</v>
      </c>
      <c r="J22" s="42">
        <v>81</v>
      </c>
      <c r="L22" s="45" t="s">
        <v>444</v>
      </c>
      <c r="N22" s="44"/>
    </row>
    <row r="23" spans="3:14" x14ac:dyDescent="0.25">
      <c r="C23" s="42" t="s">
        <v>293</v>
      </c>
      <c r="D23" s="42" t="s">
        <v>415</v>
      </c>
      <c r="E23" s="42" t="s">
        <v>397</v>
      </c>
      <c r="F23" s="42" t="s">
        <v>402</v>
      </c>
      <c r="G23" s="42" t="s">
        <v>416</v>
      </c>
      <c r="H23" s="43">
        <v>1.76</v>
      </c>
      <c r="I23" s="43">
        <v>172.71</v>
      </c>
      <c r="J23" s="42">
        <v>39</v>
      </c>
    </row>
    <row r="24" spans="3:14" x14ac:dyDescent="0.25">
      <c r="C24" s="42" t="s">
        <v>417</v>
      </c>
      <c r="D24" s="42" t="s">
        <v>415</v>
      </c>
      <c r="E24" s="42" t="s">
        <v>406</v>
      </c>
      <c r="F24" s="42" t="s">
        <v>404</v>
      </c>
      <c r="G24" s="42" t="s">
        <v>418</v>
      </c>
      <c r="H24" s="43">
        <v>10.15</v>
      </c>
      <c r="I24" s="43">
        <v>318.33999999999997</v>
      </c>
      <c r="J24" s="42">
        <v>74</v>
      </c>
      <c r="L24" s="45" t="s">
        <v>445</v>
      </c>
      <c r="N24" s="44"/>
    </row>
    <row r="25" spans="3:14" x14ac:dyDescent="0.25">
      <c r="C25" s="42" t="s">
        <v>297</v>
      </c>
      <c r="D25" s="42" t="s">
        <v>409</v>
      </c>
      <c r="E25" s="42" t="s">
        <v>410</v>
      </c>
      <c r="F25" s="42" t="s">
        <v>398</v>
      </c>
      <c r="G25" s="42" t="s">
        <v>419</v>
      </c>
      <c r="H25" s="43">
        <v>13.42</v>
      </c>
      <c r="I25" s="43">
        <v>106.28</v>
      </c>
      <c r="J25" s="42">
        <v>12</v>
      </c>
    </row>
    <row r="26" spans="3:14" x14ac:dyDescent="0.25">
      <c r="C26" s="42" t="s">
        <v>293</v>
      </c>
      <c r="D26" s="42" t="s">
        <v>420</v>
      </c>
      <c r="E26" s="42" t="s">
        <v>410</v>
      </c>
      <c r="F26" s="42" t="s">
        <v>398</v>
      </c>
      <c r="G26" s="42" t="s">
        <v>421</v>
      </c>
      <c r="H26" s="43">
        <v>0.48</v>
      </c>
      <c r="I26" s="43">
        <v>200.64</v>
      </c>
      <c r="J26" s="42">
        <v>38</v>
      </c>
      <c r="L26" s="45" t="s">
        <v>446</v>
      </c>
      <c r="N26" s="44"/>
    </row>
    <row r="27" spans="3:14" x14ac:dyDescent="0.25">
      <c r="C27" s="42" t="s">
        <v>294</v>
      </c>
      <c r="D27" s="42" t="s">
        <v>400</v>
      </c>
      <c r="E27" s="42" t="s">
        <v>406</v>
      </c>
      <c r="F27" s="42" t="s">
        <v>412</v>
      </c>
      <c r="G27" s="42" t="s">
        <v>422</v>
      </c>
      <c r="H27" s="43">
        <v>14.6</v>
      </c>
      <c r="I27" s="43">
        <v>918.5</v>
      </c>
      <c r="J27" s="42">
        <v>75</v>
      </c>
    </row>
    <row r="28" spans="3:14" x14ac:dyDescent="0.25">
      <c r="C28" s="42" t="s">
        <v>296</v>
      </c>
      <c r="D28" s="42" t="s">
        <v>415</v>
      </c>
      <c r="E28" s="42" t="s">
        <v>401</v>
      </c>
      <c r="F28" s="42" t="s">
        <v>398</v>
      </c>
      <c r="G28" s="42" t="s">
        <v>423</v>
      </c>
      <c r="H28" s="43">
        <v>11.7</v>
      </c>
      <c r="I28" s="43">
        <v>1310.02</v>
      </c>
      <c r="J28" s="42">
        <v>76</v>
      </c>
      <c r="L28" s="45" t="s">
        <v>448</v>
      </c>
      <c r="N28" s="44"/>
    </row>
    <row r="29" spans="3:14" x14ac:dyDescent="0.25">
      <c r="C29" s="42" t="s">
        <v>417</v>
      </c>
      <c r="D29" s="42" t="s">
        <v>396</v>
      </c>
      <c r="E29" s="42" t="s">
        <v>401</v>
      </c>
      <c r="F29" s="42" t="s">
        <v>402</v>
      </c>
      <c r="G29" s="42" t="s">
        <v>424</v>
      </c>
      <c r="H29" s="43">
        <v>6.11</v>
      </c>
      <c r="I29" s="43">
        <v>415.39</v>
      </c>
      <c r="J29" s="42">
        <v>28</v>
      </c>
    </row>
    <row r="30" spans="3:14" x14ac:dyDescent="0.25">
      <c r="C30" s="42" t="s">
        <v>297</v>
      </c>
      <c r="D30" s="42" t="s">
        <v>420</v>
      </c>
      <c r="E30" s="42" t="s">
        <v>425</v>
      </c>
      <c r="F30" s="42" t="s">
        <v>404</v>
      </c>
      <c r="G30" s="42" t="s">
        <v>426</v>
      </c>
      <c r="H30" s="43">
        <v>1.56</v>
      </c>
      <c r="I30" s="43">
        <v>773.02</v>
      </c>
      <c r="J30" s="42">
        <v>56</v>
      </c>
      <c r="L30" s="45" t="s">
        <v>449</v>
      </c>
      <c r="N30" s="44"/>
    </row>
    <row r="31" spans="3:14" x14ac:dyDescent="0.25">
      <c r="C31" s="42" t="s">
        <v>296</v>
      </c>
      <c r="D31" s="42" t="s">
        <v>415</v>
      </c>
      <c r="E31" s="42" t="s">
        <v>397</v>
      </c>
      <c r="F31" s="42" t="s">
        <v>412</v>
      </c>
      <c r="G31" s="42" t="s">
        <v>427</v>
      </c>
      <c r="H31" s="43">
        <v>11.3</v>
      </c>
      <c r="I31" s="43">
        <v>875.73</v>
      </c>
      <c r="J31" s="42">
        <v>96</v>
      </c>
    </row>
    <row r="32" spans="3:14" x14ac:dyDescent="0.25">
      <c r="C32" s="42" t="s">
        <v>297</v>
      </c>
      <c r="D32" s="42" t="s">
        <v>400</v>
      </c>
      <c r="E32" s="42" t="s">
        <v>401</v>
      </c>
      <c r="F32" s="42" t="s">
        <v>402</v>
      </c>
      <c r="G32" s="42" t="s">
        <v>428</v>
      </c>
      <c r="H32" s="43">
        <v>9.32</v>
      </c>
      <c r="I32" s="43">
        <v>247.94</v>
      </c>
      <c r="J32" s="42">
        <v>45</v>
      </c>
    </row>
    <row r="33" spans="3:10" x14ac:dyDescent="0.25">
      <c r="C33" s="42" t="s">
        <v>297</v>
      </c>
      <c r="D33" s="42" t="s">
        <v>400</v>
      </c>
      <c r="E33" s="42" t="s">
        <v>425</v>
      </c>
      <c r="F33" s="42" t="s">
        <v>402</v>
      </c>
      <c r="G33" s="42" t="s">
        <v>429</v>
      </c>
      <c r="H33" s="43">
        <v>10.14</v>
      </c>
      <c r="I33" s="43">
        <v>868.9</v>
      </c>
      <c r="J33" s="42">
        <v>85</v>
      </c>
    </row>
    <row r="34" spans="3:10" x14ac:dyDescent="0.25">
      <c r="C34" s="42" t="s">
        <v>417</v>
      </c>
      <c r="D34" s="42" t="s">
        <v>396</v>
      </c>
      <c r="E34" s="42" t="s">
        <v>410</v>
      </c>
      <c r="F34" s="42" t="s">
        <v>398</v>
      </c>
      <c r="G34" s="42" t="s">
        <v>430</v>
      </c>
      <c r="H34" s="43">
        <v>1.33</v>
      </c>
      <c r="I34" s="43">
        <v>72.69</v>
      </c>
      <c r="J34" s="42">
        <v>9</v>
      </c>
    </row>
    <row r="35" spans="3:10" x14ac:dyDescent="0.25">
      <c r="C35" s="42" t="s">
        <v>395</v>
      </c>
      <c r="D35" s="42" t="s">
        <v>415</v>
      </c>
      <c r="E35" s="42" t="s">
        <v>410</v>
      </c>
      <c r="F35" s="42" t="s">
        <v>412</v>
      </c>
      <c r="G35" s="42" t="s">
        <v>431</v>
      </c>
      <c r="H35" s="43">
        <v>5.73</v>
      </c>
      <c r="I35" s="43">
        <v>1146.0999999999999</v>
      </c>
      <c r="J35" s="42">
        <v>79</v>
      </c>
    </row>
    <row r="36" spans="3:10" x14ac:dyDescent="0.25">
      <c r="C36" s="42" t="s">
        <v>294</v>
      </c>
      <c r="D36" s="42" t="s">
        <v>420</v>
      </c>
      <c r="E36" s="42" t="s">
        <v>397</v>
      </c>
      <c r="F36" s="42" t="s">
        <v>402</v>
      </c>
      <c r="G36" s="42" t="s">
        <v>432</v>
      </c>
      <c r="H36" s="43">
        <v>4.42</v>
      </c>
      <c r="I36" s="43">
        <v>928.72</v>
      </c>
      <c r="J36" s="42">
        <v>58</v>
      </c>
    </row>
    <row r="37" spans="3:10" x14ac:dyDescent="0.25">
      <c r="C37" s="42" t="s">
        <v>297</v>
      </c>
      <c r="D37" s="42" t="s">
        <v>409</v>
      </c>
      <c r="E37" s="42" t="s">
        <v>397</v>
      </c>
      <c r="F37" s="42" t="s">
        <v>402</v>
      </c>
      <c r="G37" s="42" t="s">
        <v>433</v>
      </c>
      <c r="H37" s="43">
        <v>7.33</v>
      </c>
      <c r="I37" s="43">
        <v>83.91</v>
      </c>
      <c r="J37" s="42">
        <v>16</v>
      </c>
    </row>
    <row r="38" spans="3:10" x14ac:dyDescent="0.25">
      <c r="C38" s="42" t="s">
        <v>293</v>
      </c>
      <c r="D38" s="42" t="s">
        <v>420</v>
      </c>
      <c r="E38" s="42" t="s">
        <v>410</v>
      </c>
      <c r="F38" s="42" t="s">
        <v>404</v>
      </c>
      <c r="G38" s="42" t="s">
        <v>434</v>
      </c>
      <c r="H38" s="43">
        <v>12.65</v>
      </c>
      <c r="I38" s="43">
        <v>474.81</v>
      </c>
      <c r="J38" s="42">
        <v>33</v>
      </c>
    </row>
    <row r="39" spans="3:10" x14ac:dyDescent="0.25">
      <c r="C39" s="42" t="s">
        <v>395</v>
      </c>
      <c r="D39" s="42" t="s">
        <v>400</v>
      </c>
      <c r="E39" s="42" t="s">
        <v>410</v>
      </c>
      <c r="F39" s="42" t="s">
        <v>412</v>
      </c>
      <c r="G39" s="42" t="s">
        <v>435</v>
      </c>
      <c r="H39" s="43">
        <v>10.33</v>
      </c>
      <c r="I39" s="43">
        <v>594.64</v>
      </c>
      <c r="J39" s="42">
        <v>93</v>
      </c>
    </row>
    <row r="40" spans="3:10" x14ac:dyDescent="0.25">
      <c r="C40" s="42" t="s">
        <v>297</v>
      </c>
      <c r="D40" s="42" t="s">
        <v>420</v>
      </c>
      <c r="E40" s="42" t="s">
        <v>397</v>
      </c>
      <c r="F40" s="42" t="s">
        <v>404</v>
      </c>
      <c r="G40" s="42" t="s">
        <v>436</v>
      </c>
      <c r="H40" s="43">
        <v>12.94</v>
      </c>
      <c r="I40" s="43">
        <v>1024.3599999999999</v>
      </c>
      <c r="J40" s="42">
        <v>72</v>
      </c>
    </row>
    <row r="41" spans="3:10" x14ac:dyDescent="0.25">
      <c r="C41" s="42" t="s">
        <v>296</v>
      </c>
      <c r="D41" s="42" t="s">
        <v>400</v>
      </c>
      <c r="E41" s="42" t="s">
        <v>410</v>
      </c>
      <c r="F41" s="42" t="s">
        <v>398</v>
      </c>
      <c r="G41" s="42" t="s">
        <v>437</v>
      </c>
      <c r="H41" s="43">
        <v>12.05</v>
      </c>
      <c r="I41" s="43">
        <v>165.01</v>
      </c>
      <c r="J41" s="42">
        <v>87</v>
      </c>
    </row>
    <row r="42" spans="3:10" x14ac:dyDescent="0.25">
      <c r="C42" s="42" t="s">
        <v>293</v>
      </c>
      <c r="D42" s="42" t="s">
        <v>415</v>
      </c>
      <c r="E42" s="42" t="s">
        <v>397</v>
      </c>
      <c r="F42" s="42" t="s">
        <v>404</v>
      </c>
      <c r="G42" s="42" t="s">
        <v>438</v>
      </c>
      <c r="H42" s="43">
        <v>3.32</v>
      </c>
      <c r="I42" s="43">
        <v>127.9</v>
      </c>
      <c r="J42" s="42">
        <v>72</v>
      </c>
    </row>
    <row r="43" spans="3:10" x14ac:dyDescent="0.25">
      <c r="C43" s="42" t="s">
        <v>395</v>
      </c>
      <c r="D43" s="42" t="s">
        <v>400</v>
      </c>
      <c r="E43" s="42" t="s">
        <v>401</v>
      </c>
      <c r="F43" s="42" t="s">
        <v>404</v>
      </c>
      <c r="G43" s="42" t="s">
        <v>418</v>
      </c>
      <c r="H43" s="43">
        <v>6.11</v>
      </c>
      <c r="I43" s="43">
        <v>756.6</v>
      </c>
      <c r="J43" s="42">
        <v>79</v>
      </c>
    </row>
    <row r="44" spans="3:10" x14ac:dyDescent="0.25">
      <c r="C44" s="42" t="s">
        <v>297</v>
      </c>
      <c r="D44" s="42" t="s">
        <v>409</v>
      </c>
      <c r="E44" s="42" t="s">
        <v>401</v>
      </c>
      <c r="F44" s="42" t="s">
        <v>412</v>
      </c>
      <c r="G44" s="42" t="s">
        <v>439</v>
      </c>
      <c r="H44" s="43">
        <v>5.21</v>
      </c>
      <c r="I44" s="43">
        <v>44.98</v>
      </c>
      <c r="J44" s="42">
        <v>7</v>
      </c>
    </row>
  </sheetData>
  <autoFilter ref="C14:J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N9" sqref="N9"/>
    </sheetView>
  </sheetViews>
  <sheetFormatPr baseColWidth="10" defaultRowHeight="15" x14ac:dyDescent="0.25"/>
  <cols>
    <col min="1" max="1" width="4.42578125" customWidth="1"/>
  </cols>
  <sheetData>
    <row r="1" spans="1:18" ht="15.75" x14ac:dyDescent="0.25">
      <c r="B1" s="48"/>
    </row>
    <row r="6" spans="1:18" ht="15.75" thickBot="1" x14ac:dyDescent="0.3"/>
    <row r="7" spans="1:18" x14ac:dyDescent="0.25">
      <c r="B7" s="47" t="s">
        <v>325</v>
      </c>
      <c r="C7" s="47" t="s">
        <v>450</v>
      </c>
      <c r="D7" s="47" t="s">
        <v>451</v>
      </c>
      <c r="E7" s="47" t="s">
        <v>452</v>
      </c>
      <c r="F7" s="47" t="s">
        <v>453</v>
      </c>
      <c r="G7" s="47" t="s">
        <v>454</v>
      </c>
      <c r="H7" s="47" t="s">
        <v>455</v>
      </c>
      <c r="I7" s="47" t="s">
        <v>456</v>
      </c>
      <c r="J7" s="47" t="s">
        <v>457</v>
      </c>
      <c r="K7" s="47" t="s">
        <v>458</v>
      </c>
      <c r="M7" s="87" t="s">
        <v>522</v>
      </c>
      <c r="N7" s="88"/>
      <c r="O7" s="49"/>
      <c r="P7" s="89" t="s">
        <v>542</v>
      </c>
      <c r="Q7" s="90"/>
      <c r="R7" s="91"/>
    </row>
    <row r="8" spans="1:18" ht="15.75" thickBot="1" x14ac:dyDescent="0.3">
      <c r="A8" s="52">
        <v>1</v>
      </c>
      <c r="B8" s="16" t="s">
        <v>459</v>
      </c>
      <c r="C8" s="16" t="s">
        <v>460</v>
      </c>
      <c r="D8" s="16" t="s">
        <v>461</v>
      </c>
      <c r="E8" s="16" t="s">
        <v>417</v>
      </c>
      <c r="F8" s="16">
        <v>45788</v>
      </c>
      <c r="G8" s="16">
        <v>45788</v>
      </c>
      <c r="H8" s="16">
        <v>25</v>
      </c>
      <c r="I8" s="16" t="s">
        <v>462</v>
      </c>
      <c r="J8" s="16" t="s">
        <v>313</v>
      </c>
      <c r="K8" s="16" t="s">
        <v>463</v>
      </c>
      <c r="M8" s="50" t="s">
        <v>523</v>
      </c>
      <c r="N8" s="51" t="s">
        <v>524</v>
      </c>
      <c r="P8" s="92" t="s">
        <v>522</v>
      </c>
      <c r="Q8" s="93"/>
      <c r="R8" s="94"/>
    </row>
    <row r="9" spans="1:18" ht="15.75" thickBot="1" x14ac:dyDescent="0.3">
      <c r="A9" s="52">
        <v>2</v>
      </c>
      <c r="B9" s="16" t="s">
        <v>464</v>
      </c>
      <c r="C9" s="16" t="s">
        <v>460</v>
      </c>
      <c r="D9" s="16" t="s">
        <v>465</v>
      </c>
      <c r="E9" s="16" t="s">
        <v>293</v>
      </c>
      <c r="F9" s="16">
        <v>45788</v>
      </c>
      <c r="G9" s="16">
        <v>45788</v>
      </c>
      <c r="H9" s="16">
        <v>12</v>
      </c>
      <c r="I9" s="16" t="s">
        <v>466</v>
      </c>
      <c r="J9" s="16" t="s">
        <v>467</v>
      </c>
      <c r="K9" s="16" t="s">
        <v>463</v>
      </c>
      <c r="M9" s="53" t="s">
        <v>480</v>
      </c>
      <c r="N9" s="54">
        <f>MATCH(M9,B8:B37,0)</f>
        <v>7</v>
      </c>
      <c r="P9" s="63" t="s">
        <v>543</v>
      </c>
      <c r="Q9" s="64" t="s">
        <v>544</v>
      </c>
      <c r="R9" s="65" t="s">
        <v>545</v>
      </c>
    </row>
    <row r="10" spans="1:18" x14ac:dyDescent="0.25">
      <c r="A10" s="52">
        <v>3</v>
      </c>
      <c r="B10" s="16" t="s">
        <v>468</v>
      </c>
      <c r="C10" s="16" t="s">
        <v>469</v>
      </c>
      <c r="D10" s="16" t="s">
        <v>465</v>
      </c>
      <c r="E10" s="16" t="s">
        <v>470</v>
      </c>
      <c r="F10" s="16">
        <v>45788</v>
      </c>
      <c r="G10" s="16">
        <v>45788</v>
      </c>
      <c r="H10" s="16">
        <v>28</v>
      </c>
      <c r="I10" s="16" t="s">
        <v>462</v>
      </c>
      <c r="J10" s="16" t="s">
        <v>471</v>
      </c>
      <c r="K10" s="16" t="s">
        <v>463</v>
      </c>
      <c r="M10" s="55"/>
      <c r="N10" s="54"/>
      <c r="P10" s="55">
        <v>2</v>
      </c>
      <c r="Q10" s="66">
        <v>4</v>
      </c>
      <c r="R10" s="62" t="str">
        <f>INDEX(B7:K37,P10,Q10)</f>
        <v>José</v>
      </c>
    </row>
    <row r="11" spans="1:18" x14ac:dyDescent="0.25">
      <c r="A11" s="52">
        <v>4</v>
      </c>
      <c r="B11" s="16" t="s">
        <v>472</v>
      </c>
      <c r="C11" s="16" t="s">
        <v>460</v>
      </c>
      <c r="D11" s="16" t="s">
        <v>465</v>
      </c>
      <c r="E11" s="16" t="s">
        <v>470</v>
      </c>
      <c r="F11" s="16">
        <v>45788</v>
      </c>
      <c r="G11" s="16">
        <v>45788</v>
      </c>
      <c r="H11" s="16">
        <v>24</v>
      </c>
      <c r="I11" s="16" t="s">
        <v>462</v>
      </c>
      <c r="J11" s="16" t="s">
        <v>473</v>
      </c>
      <c r="K11" s="16" t="s">
        <v>474</v>
      </c>
      <c r="M11" s="55"/>
      <c r="N11" s="54"/>
      <c r="P11" s="55"/>
      <c r="Q11" s="66"/>
      <c r="R11" s="32"/>
    </row>
    <row r="12" spans="1:18" x14ac:dyDescent="0.25">
      <c r="A12" s="52">
        <v>5</v>
      </c>
      <c r="B12" s="16" t="s">
        <v>475</v>
      </c>
      <c r="C12" s="16" t="s">
        <v>469</v>
      </c>
      <c r="D12" s="16" t="s">
        <v>476</v>
      </c>
      <c r="E12" s="16" t="s">
        <v>417</v>
      </c>
      <c r="F12" s="16">
        <v>45788</v>
      </c>
      <c r="G12" s="16">
        <v>45788</v>
      </c>
      <c r="H12" s="16">
        <v>30</v>
      </c>
      <c r="I12" s="16" t="s">
        <v>466</v>
      </c>
      <c r="J12" s="16" t="s">
        <v>477</v>
      </c>
      <c r="K12" s="16" t="s">
        <v>474</v>
      </c>
      <c r="M12" s="55"/>
      <c r="N12" s="54"/>
      <c r="P12" s="55"/>
      <c r="Q12" s="66"/>
      <c r="R12" s="32"/>
    </row>
    <row r="13" spans="1:18" ht="15.75" thickBot="1" x14ac:dyDescent="0.3">
      <c r="A13" s="52">
        <v>6</v>
      </c>
      <c r="B13" s="16" t="s">
        <v>478</v>
      </c>
      <c r="C13" s="16" t="s">
        <v>460</v>
      </c>
      <c r="D13" s="16" t="s">
        <v>465</v>
      </c>
      <c r="E13" s="16" t="s">
        <v>293</v>
      </c>
      <c r="F13" s="16">
        <v>45788</v>
      </c>
      <c r="G13" s="16">
        <v>45788</v>
      </c>
      <c r="H13" s="16">
        <v>4</v>
      </c>
      <c r="I13" s="16" t="s">
        <v>479</v>
      </c>
      <c r="J13" s="16" t="s">
        <v>309</v>
      </c>
      <c r="K13" s="16" t="s">
        <v>474</v>
      </c>
      <c r="M13" s="56"/>
      <c r="N13" s="57"/>
      <c r="P13" s="55"/>
      <c r="Q13" s="66"/>
      <c r="R13" s="32"/>
    </row>
    <row r="14" spans="1:18" ht="15.75" thickBot="1" x14ac:dyDescent="0.3">
      <c r="A14" s="52">
        <v>7</v>
      </c>
      <c r="B14" s="16" t="s">
        <v>480</v>
      </c>
      <c r="C14" s="16" t="s">
        <v>469</v>
      </c>
      <c r="D14" s="16" t="s">
        <v>461</v>
      </c>
      <c r="E14" s="16" t="s">
        <v>293</v>
      </c>
      <c r="F14" s="16">
        <v>45788</v>
      </c>
      <c r="G14" s="16">
        <v>45788</v>
      </c>
      <c r="H14" s="16">
        <v>25</v>
      </c>
      <c r="I14" s="16" t="s">
        <v>479</v>
      </c>
      <c r="J14" s="16" t="s">
        <v>481</v>
      </c>
      <c r="K14" s="16" t="s">
        <v>474</v>
      </c>
      <c r="P14" s="56"/>
      <c r="Q14" s="67"/>
      <c r="R14" s="33"/>
    </row>
    <row r="15" spans="1:18" x14ac:dyDescent="0.25">
      <c r="A15" s="52">
        <v>8</v>
      </c>
      <c r="B15" s="16" t="s">
        <v>482</v>
      </c>
      <c r="C15" s="16" t="s">
        <v>469</v>
      </c>
      <c r="D15" s="16" t="s">
        <v>465</v>
      </c>
      <c r="E15" s="16" t="s">
        <v>293</v>
      </c>
      <c r="F15" s="16">
        <v>45788</v>
      </c>
      <c r="G15" s="16">
        <v>45788</v>
      </c>
      <c r="H15" s="16">
        <v>26</v>
      </c>
      <c r="I15" s="16" t="s">
        <v>462</v>
      </c>
      <c r="J15" s="16" t="s">
        <v>467</v>
      </c>
      <c r="K15" s="16" t="s">
        <v>474</v>
      </c>
    </row>
    <row r="16" spans="1:18" x14ac:dyDescent="0.25">
      <c r="A16" s="52">
        <v>9</v>
      </c>
      <c r="B16" s="16" t="s">
        <v>483</v>
      </c>
      <c r="C16" s="16" t="s">
        <v>469</v>
      </c>
      <c r="D16" s="16" t="s">
        <v>476</v>
      </c>
      <c r="E16" s="16" t="s">
        <v>417</v>
      </c>
      <c r="F16" s="16">
        <v>45788</v>
      </c>
      <c r="G16" s="16">
        <v>45788</v>
      </c>
      <c r="H16" s="16">
        <v>2</v>
      </c>
      <c r="I16" s="16" t="s">
        <v>466</v>
      </c>
      <c r="J16" s="16" t="s">
        <v>471</v>
      </c>
      <c r="K16" s="16" t="s">
        <v>463</v>
      </c>
    </row>
    <row r="17" spans="1:11" x14ac:dyDescent="0.25">
      <c r="A17" s="52">
        <v>10</v>
      </c>
      <c r="B17" s="16" t="s">
        <v>484</v>
      </c>
      <c r="C17" s="16" t="s">
        <v>460</v>
      </c>
      <c r="D17" s="16" t="s">
        <v>461</v>
      </c>
      <c r="E17" s="16" t="s">
        <v>293</v>
      </c>
      <c r="F17" s="16">
        <v>45788</v>
      </c>
      <c r="G17" s="16">
        <v>45788</v>
      </c>
      <c r="H17" s="16">
        <v>23</v>
      </c>
      <c r="I17" s="16" t="s">
        <v>462</v>
      </c>
      <c r="J17" s="16" t="s">
        <v>485</v>
      </c>
      <c r="K17" s="16" t="s">
        <v>463</v>
      </c>
    </row>
    <row r="18" spans="1:11" x14ac:dyDescent="0.25">
      <c r="A18" s="52">
        <v>11</v>
      </c>
      <c r="B18" s="16" t="s">
        <v>486</v>
      </c>
      <c r="C18" s="16" t="s">
        <v>469</v>
      </c>
      <c r="D18" s="16" t="s">
        <v>461</v>
      </c>
      <c r="E18" s="16" t="s">
        <v>293</v>
      </c>
      <c r="F18" s="16">
        <v>45788</v>
      </c>
      <c r="G18" s="16">
        <v>45788</v>
      </c>
      <c r="H18" s="16">
        <v>27</v>
      </c>
      <c r="I18" s="16" t="s">
        <v>462</v>
      </c>
      <c r="J18" s="16" t="s">
        <v>487</v>
      </c>
      <c r="K18" s="16" t="s">
        <v>474</v>
      </c>
    </row>
    <row r="19" spans="1:11" x14ac:dyDescent="0.25">
      <c r="A19" s="52">
        <v>12</v>
      </c>
      <c r="B19" s="16" t="s">
        <v>488</v>
      </c>
      <c r="C19" s="16" t="s">
        <v>460</v>
      </c>
      <c r="D19" s="16" t="s">
        <v>461</v>
      </c>
      <c r="E19" s="16" t="s">
        <v>470</v>
      </c>
      <c r="F19" s="16">
        <v>45788</v>
      </c>
      <c r="G19" s="16">
        <v>45788</v>
      </c>
      <c r="H19" s="16">
        <v>3</v>
      </c>
      <c r="I19" s="16" t="s">
        <v>462</v>
      </c>
      <c r="J19" s="16" t="s">
        <v>489</v>
      </c>
      <c r="K19" s="16" t="s">
        <v>474</v>
      </c>
    </row>
    <row r="20" spans="1:11" x14ac:dyDescent="0.25">
      <c r="A20" s="52">
        <v>13</v>
      </c>
      <c r="B20" s="16" t="s">
        <v>490</v>
      </c>
      <c r="C20" s="16" t="s">
        <v>469</v>
      </c>
      <c r="D20" s="16" t="s">
        <v>461</v>
      </c>
      <c r="E20" s="16" t="s">
        <v>470</v>
      </c>
      <c r="F20" s="16">
        <v>45788</v>
      </c>
      <c r="G20" s="16">
        <v>45788</v>
      </c>
      <c r="H20" s="16">
        <v>2</v>
      </c>
      <c r="I20" s="16" t="s">
        <v>466</v>
      </c>
      <c r="J20" s="16" t="s">
        <v>347</v>
      </c>
      <c r="K20" s="16" t="s">
        <v>474</v>
      </c>
    </row>
    <row r="21" spans="1:11" x14ac:dyDescent="0.25">
      <c r="A21" s="52">
        <v>14</v>
      </c>
      <c r="B21" s="16" t="s">
        <v>491</v>
      </c>
      <c r="C21" s="16" t="s">
        <v>460</v>
      </c>
      <c r="D21" s="16" t="s">
        <v>461</v>
      </c>
      <c r="E21" s="16" t="s">
        <v>470</v>
      </c>
      <c r="F21" s="16">
        <v>45788</v>
      </c>
      <c r="G21" s="16">
        <v>45788</v>
      </c>
      <c r="H21" s="16">
        <v>2</v>
      </c>
      <c r="I21" s="16" t="s">
        <v>462</v>
      </c>
      <c r="J21" s="16" t="s">
        <v>492</v>
      </c>
      <c r="K21" s="16" t="s">
        <v>463</v>
      </c>
    </row>
    <row r="22" spans="1:11" x14ac:dyDescent="0.25">
      <c r="A22" s="52">
        <v>15</v>
      </c>
      <c r="B22" s="16" t="s">
        <v>493</v>
      </c>
      <c r="C22" s="16" t="s">
        <v>460</v>
      </c>
      <c r="D22" s="16" t="s">
        <v>465</v>
      </c>
      <c r="E22" s="16" t="s">
        <v>293</v>
      </c>
      <c r="F22" s="16">
        <v>45788</v>
      </c>
      <c r="G22" s="16">
        <v>45788</v>
      </c>
      <c r="H22" s="16">
        <v>4</v>
      </c>
      <c r="I22" s="16" t="s">
        <v>479</v>
      </c>
      <c r="J22" s="16" t="s">
        <v>494</v>
      </c>
      <c r="K22" s="16" t="s">
        <v>463</v>
      </c>
    </row>
    <row r="23" spans="1:11" x14ac:dyDescent="0.25">
      <c r="A23" s="52">
        <v>16</v>
      </c>
      <c r="B23" s="16" t="s">
        <v>495</v>
      </c>
      <c r="C23" s="16" t="s">
        <v>469</v>
      </c>
      <c r="D23" s="16" t="s">
        <v>465</v>
      </c>
      <c r="E23" s="16" t="s">
        <v>417</v>
      </c>
      <c r="F23" s="16">
        <v>45788</v>
      </c>
      <c r="G23" s="16">
        <v>45788</v>
      </c>
      <c r="H23" s="16">
        <v>1</v>
      </c>
      <c r="I23" s="16" t="s">
        <v>466</v>
      </c>
      <c r="J23" s="16" t="s">
        <v>496</v>
      </c>
      <c r="K23" s="16" t="s">
        <v>463</v>
      </c>
    </row>
    <row r="24" spans="1:11" x14ac:dyDescent="0.25">
      <c r="A24" s="52">
        <v>17</v>
      </c>
      <c r="B24" s="16" t="s">
        <v>497</v>
      </c>
      <c r="C24" s="16" t="s">
        <v>469</v>
      </c>
      <c r="D24" s="16" t="s">
        <v>476</v>
      </c>
      <c r="E24" s="16" t="s">
        <v>470</v>
      </c>
      <c r="F24" s="16">
        <v>45788</v>
      </c>
      <c r="G24" s="16">
        <v>45788</v>
      </c>
      <c r="H24" s="16">
        <v>15</v>
      </c>
      <c r="I24" s="16" t="s">
        <v>466</v>
      </c>
      <c r="J24" s="16" t="s">
        <v>380</v>
      </c>
      <c r="K24" s="16" t="s">
        <v>463</v>
      </c>
    </row>
    <row r="25" spans="1:11" x14ac:dyDescent="0.25">
      <c r="A25" s="52">
        <v>18</v>
      </c>
      <c r="B25" s="16" t="s">
        <v>498</v>
      </c>
      <c r="C25" s="16" t="s">
        <v>460</v>
      </c>
      <c r="D25" s="16" t="s">
        <v>465</v>
      </c>
      <c r="E25" s="16" t="s">
        <v>470</v>
      </c>
      <c r="F25" s="16">
        <v>45788</v>
      </c>
      <c r="G25" s="16">
        <v>45788</v>
      </c>
      <c r="H25" s="16">
        <v>20</v>
      </c>
      <c r="I25" s="16" t="s">
        <v>466</v>
      </c>
      <c r="J25" s="16" t="s">
        <v>315</v>
      </c>
      <c r="K25" s="16" t="s">
        <v>474</v>
      </c>
    </row>
    <row r="26" spans="1:11" x14ac:dyDescent="0.25">
      <c r="A26" s="52">
        <v>19</v>
      </c>
      <c r="B26" s="16" t="s">
        <v>499</v>
      </c>
      <c r="C26" s="16" t="s">
        <v>460</v>
      </c>
      <c r="D26" s="16" t="s">
        <v>461</v>
      </c>
      <c r="E26" s="16" t="s">
        <v>470</v>
      </c>
      <c r="F26" s="16">
        <v>45788</v>
      </c>
      <c r="G26" s="16">
        <v>45788</v>
      </c>
      <c r="H26" s="16">
        <v>16</v>
      </c>
      <c r="I26" s="16" t="s">
        <v>479</v>
      </c>
      <c r="J26" s="16" t="s">
        <v>500</v>
      </c>
      <c r="K26" s="16" t="s">
        <v>474</v>
      </c>
    </row>
    <row r="27" spans="1:11" x14ac:dyDescent="0.25">
      <c r="A27" s="52">
        <v>20</v>
      </c>
      <c r="B27" s="16" t="s">
        <v>501</v>
      </c>
      <c r="C27" s="16" t="s">
        <v>460</v>
      </c>
      <c r="D27" s="16" t="s">
        <v>476</v>
      </c>
      <c r="E27" s="16" t="s">
        <v>417</v>
      </c>
      <c r="F27" s="16">
        <v>45788</v>
      </c>
      <c r="G27" s="16">
        <v>45788</v>
      </c>
      <c r="H27" s="16">
        <v>30</v>
      </c>
      <c r="I27" s="16" t="s">
        <v>479</v>
      </c>
      <c r="J27" s="16" t="s">
        <v>502</v>
      </c>
      <c r="K27" s="16" t="s">
        <v>463</v>
      </c>
    </row>
    <row r="28" spans="1:11" x14ac:dyDescent="0.25">
      <c r="A28" s="52">
        <v>21</v>
      </c>
      <c r="B28" s="16" t="s">
        <v>503</v>
      </c>
      <c r="C28" s="16" t="s">
        <v>469</v>
      </c>
      <c r="D28" s="16" t="s">
        <v>476</v>
      </c>
      <c r="E28" s="16" t="s">
        <v>470</v>
      </c>
      <c r="F28" s="16">
        <v>45788</v>
      </c>
      <c r="G28" s="16">
        <v>45788</v>
      </c>
      <c r="H28" s="16">
        <v>21</v>
      </c>
      <c r="I28" s="16" t="s">
        <v>466</v>
      </c>
      <c r="J28" s="16" t="s">
        <v>485</v>
      </c>
      <c r="K28" s="16" t="s">
        <v>474</v>
      </c>
    </row>
    <row r="29" spans="1:11" x14ac:dyDescent="0.25">
      <c r="A29" s="52">
        <v>22</v>
      </c>
      <c r="B29" s="16" t="s">
        <v>504</v>
      </c>
      <c r="C29" s="16" t="s">
        <v>460</v>
      </c>
      <c r="D29" s="16" t="s">
        <v>465</v>
      </c>
      <c r="E29" s="16" t="s">
        <v>417</v>
      </c>
      <c r="F29" s="16">
        <v>45788</v>
      </c>
      <c r="G29" s="16">
        <v>45788</v>
      </c>
      <c r="H29" s="16">
        <v>9</v>
      </c>
      <c r="I29" s="16" t="s">
        <v>462</v>
      </c>
      <c r="J29" s="16" t="s">
        <v>505</v>
      </c>
      <c r="K29" s="16" t="s">
        <v>463</v>
      </c>
    </row>
    <row r="30" spans="1:11" x14ac:dyDescent="0.25">
      <c r="A30" s="52">
        <v>23</v>
      </c>
      <c r="B30" s="16" t="s">
        <v>506</v>
      </c>
      <c r="C30" s="16" t="s">
        <v>469</v>
      </c>
      <c r="D30" s="16" t="s">
        <v>461</v>
      </c>
      <c r="E30" s="16" t="s">
        <v>417</v>
      </c>
      <c r="F30" s="16">
        <v>45788</v>
      </c>
      <c r="G30" s="16">
        <v>45788</v>
      </c>
      <c r="H30" s="16">
        <v>15</v>
      </c>
      <c r="I30" s="16" t="s">
        <v>479</v>
      </c>
      <c r="J30" s="16" t="s">
        <v>507</v>
      </c>
      <c r="K30" s="16" t="s">
        <v>463</v>
      </c>
    </row>
    <row r="31" spans="1:11" x14ac:dyDescent="0.25">
      <c r="A31" s="52">
        <v>24</v>
      </c>
      <c r="B31" s="16" t="s">
        <v>508</v>
      </c>
      <c r="C31" s="16" t="s">
        <v>460</v>
      </c>
      <c r="D31" s="16" t="s">
        <v>465</v>
      </c>
      <c r="E31" s="16" t="s">
        <v>417</v>
      </c>
      <c r="F31" s="16">
        <v>45788</v>
      </c>
      <c r="G31" s="16">
        <v>45788</v>
      </c>
      <c r="H31" s="16">
        <v>25</v>
      </c>
      <c r="I31" s="16" t="s">
        <v>466</v>
      </c>
      <c r="J31" s="16" t="s">
        <v>509</v>
      </c>
      <c r="K31" s="16" t="s">
        <v>474</v>
      </c>
    </row>
    <row r="32" spans="1:11" x14ac:dyDescent="0.25">
      <c r="A32" s="52">
        <v>25</v>
      </c>
      <c r="B32" s="16" t="s">
        <v>510</v>
      </c>
      <c r="C32" s="16" t="s">
        <v>460</v>
      </c>
      <c r="D32" s="16" t="s">
        <v>476</v>
      </c>
      <c r="E32" s="16" t="s">
        <v>417</v>
      </c>
      <c r="F32" s="16">
        <v>45788</v>
      </c>
      <c r="G32" s="16">
        <v>45788</v>
      </c>
      <c r="H32" s="16">
        <v>16</v>
      </c>
      <c r="I32" s="16" t="s">
        <v>466</v>
      </c>
      <c r="J32" s="16" t="s">
        <v>511</v>
      </c>
      <c r="K32" s="16" t="s">
        <v>474</v>
      </c>
    </row>
    <row r="33" spans="1:11" x14ac:dyDescent="0.25">
      <c r="A33" s="52">
        <v>26</v>
      </c>
      <c r="B33" s="16" t="s">
        <v>512</v>
      </c>
      <c r="C33" s="16" t="s">
        <v>460</v>
      </c>
      <c r="D33" s="16" t="s">
        <v>476</v>
      </c>
      <c r="E33" s="16" t="s">
        <v>293</v>
      </c>
      <c r="F33" s="16">
        <v>45788</v>
      </c>
      <c r="G33" s="16">
        <v>45788</v>
      </c>
      <c r="H33" s="16">
        <v>16</v>
      </c>
      <c r="I33" s="16" t="s">
        <v>479</v>
      </c>
      <c r="J33" s="16" t="s">
        <v>513</v>
      </c>
      <c r="K33" s="16" t="s">
        <v>463</v>
      </c>
    </row>
    <row r="34" spans="1:11" x14ac:dyDescent="0.25">
      <c r="A34" s="52">
        <v>27</v>
      </c>
      <c r="B34" s="16" t="s">
        <v>514</v>
      </c>
      <c r="C34" s="16" t="s">
        <v>469</v>
      </c>
      <c r="D34" s="16" t="s">
        <v>461</v>
      </c>
      <c r="E34" s="16" t="s">
        <v>470</v>
      </c>
      <c r="F34" s="16">
        <v>45788</v>
      </c>
      <c r="G34" s="16">
        <v>45788</v>
      </c>
      <c r="H34" s="16">
        <v>20</v>
      </c>
      <c r="I34" s="16" t="s">
        <v>462</v>
      </c>
      <c r="J34" s="16" t="s">
        <v>515</v>
      </c>
      <c r="K34" s="16" t="s">
        <v>474</v>
      </c>
    </row>
    <row r="35" spans="1:11" x14ac:dyDescent="0.25">
      <c r="A35" s="52">
        <v>28</v>
      </c>
      <c r="B35" s="16" t="s">
        <v>516</v>
      </c>
      <c r="C35" s="16" t="s">
        <v>460</v>
      </c>
      <c r="D35" s="16" t="s">
        <v>461</v>
      </c>
      <c r="E35" s="16" t="s">
        <v>470</v>
      </c>
      <c r="F35" s="16">
        <v>45788</v>
      </c>
      <c r="G35" s="16">
        <v>45788</v>
      </c>
      <c r="H35" s="16">
        <v>26</v>
      </c>
      <c r="I35" s="16" t="s">
        <v>479</v>
      </c>
      <c r="J35" s="16" t="s">
        <v>517</v>
      </c>
      <c r="K35" s="16" t="s">
        <v>463</v>
      </c>
    </row>
    <row r="36" spans="1:11" x14ac:dyDescent="0.25">
      <c r="A36" s="52">
        <v>29</v>
      </c>
      <c r="B36" s="16" t="s">
        <v>518</v>
      </c>
      <c r="C36" s="16" t="s">
        <v>460</v>
      </c>
      <c r="D36" s="16" t="s">
        <v>465</v>
      </c>
      <c r="E36" s="16" t="s">
        <v>417</v>
      </c>
      <c r="F36" s="16">
        <v>45788</v>
      </c>
      <c r="G36" s="16">
        <v>45788</v>
      </c>
      <c r="H36" s="16">
        <v>24</v>
      </c>
      <c r="I36" s="16" t="s">
        <v>479</v>
      </c>
      <c r="J36" s="16" t="s">
        <v>519</v>
      </c>
      <c r="K36" s="16" t="s">
        <v>474</v>
      </c>
    </row>
    <row r="37" spans="1:11" x14ac:dyDescent="0.25">
      <c r="A37" s="52">
        <v>30</v>
      </c>
      <c r="B37" s="16" t="s">
        <v>520</v>
      </c>
      <c r="C37" s="16" t="s">
        <v>469</v>
      </c>
      <c r="D37" s="16" t="s">
        <v>461</v>
      </c>
      <c r="E37" s="16" t="s">
        <v>417</v>
      </c>
      <c r="F37" s="16">
        <v>45788</v>
      </c>
      <c r="G37" s="16">
        <v>45788</v>
      </c>
      <c r="H37" s="16">
        <v>6</v>
      </c>
      <c r="I37" s="16" t="s">
        <v>479</v>
      </c>
      <c r="J37" s="16" t="s">
        <v>521</v>
      </c>
      <c r="K37" s="16" t="s">
        <v>474</v>
      </c>
    </row>
  </sheetData>
  <mergeCells count="3">
    <mergeCell ref="M7:N7"/>
    <mergeCell ref="P7:R7"/>
    <mergeCell ref="P8:R8"/>
  </mergeCells>
  <pageMargins left="0.7" right="0.7" top="0.75" bottom="0.75" header="0.3" footer="0.3"/>
  <pageSetup paperSize="9" orientation="portrait" r:id="rId1"/>
  <ignoredErrors>
    <ignoredError sqref="J8:J37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L18"/>
  <sheetViews>
    <sheetView workbookViewId="0">
      <selection activeCell="L25" sqref="L25"/>
    </sheetView>
  </sheetViews>
  <sheetFormatPr baseColWidth="10" defaultRowHeight="15" x14ac:dyDescent="0.25"/>
  <cols>
    <col min="2" max="2" width="11.28515625" bestFit="1" customWidth="1"/>
    <col min="3" max="11" width="13.7109375" bestFit="1" customWidth="1"/>
    <col min="12" max="12" width="15.28515625" bestFit="1" customWidth="1"/>
  </cols>
  <sheetData>
    <row r="7" spans="2:12" ht="21" x14ac:dyDescent="0.35">
      <c r="B7" s="95" t="s">
        <v>541</v>
      </c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2:12" x14ac:dyDescent="0.25">
      <c r="B8" s="59" t="s">
        <v>531</v>
      </c>
      <c r="C8" s="59" t="s">
        <v>530</v>
      </c>
      <c r="D8" s="59" t="s">
        <v>532</v>
      </c>
      <c r="E8" s="59" t="s">
        <v>533</v>
      </c>
      <c r="F8" s="59" t="s">
        <v>534</v>
      </c>
      <c r="G8" s="59" t="s">
        <v>535</v>
      </c>
      <c r="H8" s="59" t="s">
        <v>536</v>
      </c>
      <c r="I8" s="59" t="s">
        <v>537</v>
      </c>
      <c r="J8" s="59" t="s">
        <v>538</v>
      </c>
      <c r="K8" s="59" t="s">
        <v>539</v>
      </c>
      <c r="L8" s="59" t="s">
        <v>540</v>
      </c>
    </row>
    <row r="9" spans="2:12" x14ac:dyDescent="0.25">
      <c r="B9" s="46" t="s">
        <v>295</v>
      </c>
      <c r="C9" s="58">
        <v>164670</v>
      </c>
      <c r="D9" s="58">
        <v>205877</v>
      </c>
      <c r="E9" s="58">
        <v>121724</v>
      </c>
      <c r="F9" s="58">
        <v>184735</v>
      </c>
      <c r="G9" s="58">
        <v>276366</v>
      </c>
      <c r="H9" s="58">
        <v>137458</v>
      </c>
      <c r="I9" s="58">
        <v>118793</v>
      </c>
      <c r="J9" s="58">
        <v>158781</v>
      </c>
      <c r="K9" s="58">
        <v>219615</v>
      </c>
      <c r="L9" s="61">
        <v>1588019</v>
      </c>
    </row>
    <row r="10" spans="2:12" x14ac:dyDescent="0.25">
      <c r="B10" s="46" t="s">
        <v>308</v>
      </c>
      <c r="C10" s="58">
        <v>145296</v>
      </c>
      <c r="D10" s="58">
        <v>205492</v>
      </c>
      <c r="E10" s="58">
        <v>192928</v>
      </c>
      <c r="F10" s="58">
        <v>216175</v>
      </c>
      <c r="G10" s="58">
        <v>163853</v>
      </c>
      <c r="H10" s="58">
        <v>192851</v>
      </c>
      <c r="I10" s="58">
        <v>215455</v>
      </c>
      <c r="J10" s="58">
        <v>208766</v>
      </c>
      <c r="K10" s="58">
        <v>161272</v>
      </c>
      <c r="L10" s="61">
        <v>1702088</v>
      </c>
    </row>
    <row r="11" spans="2:12" x14ac:dyDescent="0.25">
      <c r="B11" s="46" t="s">
        <v>312</v>
      </c>
      <c r="C11" s="58">
        <v>108984</v>
      </c>
      <c r="D11" s="58">
        <v>92640</v>
      </c>
      <c r="E11" s="58">
        <v>164711</v>
      </c>
      <c r="F11" s="58">
        <v>223208</v>
      </c>
      <c r="G11" s="58">
        <v>116059</v>
      </c>
      <c r="H11" s="58">
        <v>214423</v>
      </c>
      <c r="I11" s="58">
        <v>199339</v>
      </c>
      <c r="J11" s="58">
        <v>233933</v>
      </c>
      <c r="K11" s="58">
        <v>134822</v>
      </c>
      <c r="L11" s="61">
        <v>1488119</v>
      </c>
    </row>
    <row r="12" spans="2:12" x14ac:dyDescent="0.25">
      <c r="B12" s="46" t="s">
        <v>297</v>
      </c>
      <c r="C12" s="58">
        <v>226620</v>
      </c>
      <c r="D12" s="58">
        <v>211697</v>
      </c>
      <c r="E12" s="58">
        <v>138344</v>
      </c>
      <c r="F12" s="58">
        <v>114582</v>
      </c>
      <c r="G12" s="58">
        <v>97215</v>
      </c>
      <c r="H12" s="58">
        <v>134279</v>
      </c>
      <c r="I12" s="58">
        <v>169372</v>
      </c>
      <c r="J12" s="58">
        <v>107690</v>
      </c>
      <c r="K12" s="58">
        <v>128929</v>
      </c>
      <c r="L12" s="61">
        <v>1328728</v>
      </c>
    </row>
    <row r="13" spans="2:12" x14ac:dyDescent="0.25">
      <c r="B13" s="46" t="s">
        <v>525</v>
      </c>
      <c r="C13" s="58">
        <v>75410</v>
      </c>
      <c r="D13" s="58">
        <v>167847</v>
      </c>
      <c r="E13" s="58">
        <v>215268</v>
      </c>
      <c r="F13" s="58">
        <v>210361</v>
      </c>
      <c r="G13" s="58">
        <v>141145</v>
      </c>
      <c r="H13" s="58">
        <v>99204</v>
      </c>
      <c r="I13" s="58">
        <v>214604</v>
      </c>
      <c r="J13" s="58">
        <v>208985</v>
      </c>
      <c r="K13" s="58">
        <v>144692</v>
      </c>
      <c r="L13" s="61">
        <v>1477516</v>
      </c>
    </row>
    <row r="14" spans="2:12" x14ac:dyDescent="0.25">
      <c r="B14" s="46" t="s">
        <v>314</v>
      </c>
      <c r="C14" s="58">
        <v>143127</v>
      </c>
      <c r="D14" s="58">
        <v>169201</v>
      </c>
      <c r="E14" s="58">
        <v>186879</v>
      </c>
      <c r="F14" s="58">
        <v>128154</v>
      </c>
      <c r="G14" s="58">
        <v>173637</v>
      </c>
      <c r="H14" s="58">
        <v>178377</v>
      </c>
      <c r="I14" s="58">
        <v>162462</v>
      </c>
      <c r="J14" s="58">
        <v>216144</v>
      </c>
      <c r="K14" s="58">
        <v>140059</v>
      </c>
      <c r="L14" s="61">
        <v>1498040</v>
      </c>
    </row>
    <row r="15" spans="2:12" x14ac:dyDescent="0.25">
      <c r="B15" s="46" t="s">
        <v>526</v>
      </c>
      <c r="C15" s="58">
        <v>155678</v>
      </c>
      <c r="D15" s="58">
        <v>235440</v>
      </c>
      <c r="E15" s="58">
        <v>229890</v>
      </c>
      <c r="F15" s="58">
        <v>211683</v>
      </c>
      <c r="G15" s="58">
        <v>110857</v>
      </c>
      <c r="H15" s="58">
        <v>129529</v>
      </c>
      <c r="I15" s="58">
        <v>156089</v>
      </c>
      <c r="J15" s="58">
        <v>265978</v>
      </c>
      <c r="K15" s="58">
        <v>98537</v>
      </c>
      <c r="L15" s="61">
        <v>1593681</v>
      </c>
    </row>
    <row r="16" spans="2:12" x14ac:dyDescent="0.25">
      <c r="B16" s="46" t="s">
        <v>527</v>
      </c>
      <c r="C16" s="58">
        <v>174233</v>
      </c>
      <c r="D16" s="58">
        <v>154560</v>
      </c>
      <c r="E16" s="58">
        <v>208208</v>
      </c>
      <c r="F16" s="58">
        <v>197955</v>
      </c>
      <c r="G16" s="58">
        <v>41283</v>
      </c>
      <c r="H16" s="58">
        <v>279558</v>
      </c>
      <c r="I16" s="58">
        <v>207133</v>
      </c>
      <c r="J16" s="58">
        <v>202753</v>
      </c>
      <c r="K16" s="58">
        <v>196197</v>
      </c>
      <c r="L16" s="61">
        <v>1661880</v>
      </c>
    </row>
    <row r="17" spans="2:12" x14ac:dyDescent="0.25">
      <c r="B17" s="46" t="s">
        <v>528</v>
      </c>
      <c r="C17" s="58">
        <v>136633</v>
      </c>
      <c r="D17" s="58">
        <v>165232</v>
      </c>
      <c r="E17" s="58">
        <v>151339</v>
      </c>
      <c r="F17" s="58">
        <v>235044</v>
      </c>
      <c r="G17" s="58">
        <v>183345</v>
      </c>
      <c r="H17" s="58">
        <v>162147</v>
      </c>
      <c r="I17" s="58">
        <v>207377</v>
      </c>
      <c r="J17" s="58">
        <v>206226</v>
      </c>
      <c r="K17" s="58">
        <v>153054</v>
      </c>
      <c r="L17" s="61">
        <v>1600397</v>
      </c>
    </row>
    <row r="18" spans="2:12" x14ac:dyDescent="0.25">
      <c r="B18" s="46" t="s">
        <v>529</v>
      </c>
      <c r="C18" s="58">
        <v>110319</v>
      </c>
      <c r="D18" s="58">
        <v>226153</v>
      </c>
      <c r="E18" s="58">
        <v>164938</v>
      </c>
      <c r="F18" s="58">
        <v>163014</v>
      </c>
      <c r="G18" s="58">
        <v>67338</v>
      </c>
      <c r="H18" s="58">
        <v>176971</v>
      </c>
      <c r="I18" s="58">
        <v>163120</v>
      </c>
      <c r="J18" s="58">
        <v>130023</v>
      </c>
      <c r="K18" s="58">
        <v>253053</v>
      </c>
      <c r="L18" s="61">
        <v>1454929</v>
      </c>
    </row>
  </sheetData>
  <dataConsolidate topLabels="1">
    <dataRefs count="4">
      <dataRef ref="A5:K15" sheet="2022" r:id="rId1"/>
      <dataRef ref="B6:L16" sheet="2023" r:id="rId2"/>
      <dataRef ref="B5:L15" sheet="2024" r:id="rId3"/>
      <dataRef ref="B5:L15" sheet="2025" r:id="rId4"/>
    </dataRefs>
  </dataConsolidate>
  <mergeCells count="1">
    <mergeCell ref="B7:L7"/>
  </mergeCells>
  <pageMargins left="0.7" right="0.7" top="0.75" bottom="0.75" header="0.3" footer="0.3"/>
  <pageSetup paperSize="9"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5"/>
  <sheetViews>
    <sheetView showGridLines="0" workbookViewId="0">
      <selection activeCell="K15" sqref="K15"/>
    </sheetView>
  </sheetViews>
  <sheetFormatPr baseColWidth="10" defaultRowHeight="15" x14ac:dyDescent="0.25"/>
  <cols>
    <col min="2" max="2" width="13.28515625" customWidth="1"/>
    <col min="3" max="10" width="12.7109375" bestFit="1" customWidth="1"/>
    <col min="11" max="11" width="13.7109375" bestFit="1" customWidth="1"/>
  </cols>
  <sheetData>
    <row r="4" spans="1:11" ht="21" x14ac:dyDescent="0.35">
      <c r="A4" s="95">
        <v>2022</v>
      </c>
      <c r="B4" s="95"/>
      <c r="C4" s="95"/>
      <c r="D4" s="95"/>
      <c r="E4" s="95"/>
      <c r="F4" s="95"/>
      <c r="G4" s="95"/>
      <c r="H4" s="95"/>
      <c r="I4" s="95"/>
      <c r="J4" s="95"/>
      <c r="K4" s="95"/>
    </row>
    <row r="5" spans="1:11" x14ac:dyDescent="0.25">
      <c r="A5" s="59" t="s">
        <v>531</v>
      </c>
      <c r="B5" s="59" t="s">
        <v>530</v>
      </c>
      <c r="C5" s="59" t="s">
        <v>532</v>
      </c>
      <c r="D5" s="59" t="s">
        <v>533</v>
      </c>
      <c r="E5" s="59" t="s">
        <v>534</v>
      </c>
      <c r="F5" s="59" t="s">
        <v>535</v>
      </c>
      <c r="G5" s="59" t="s">
        <v>536</v>
      </c>
      <c r="H5" s="59" t="s">
        <v>537</v>
      </c>
      <c r="I5" s="59" t="s">
        <v>538</v>
      </c>
      <c r="J5" s="59" t="s">
        <v>539</v>
      </c>
      <c r="K5" s="59" t="s">
        <v>540</v>
      </c>
    </row>
    <row r="6" spans="1:11" x14ac:dyDescent="0.25">
      <c r="A6" s="47" t="s">
        <v>295</v>
      </c>
      <c r="B6" s="58">
        <v>29145</v>
      </c>
      <c r="C6" s="58">
        <v>87731</v>
      </c>
      <c r="D6" s="58">
        <v>8594</v>
      </c>
      <c r="E6" s="58">
        <v>12829</v>
      </c>
      <c r="F6" s="58">
        <v>88877</v>
      </c>
      <c r="G6" s="58">
        <v>46549</v>
      </c>
      <c r="H6" s="58">
        <v>12714</v>
      </c>
      <c r="I6" s="58">
        <v>48284</v>
      </c>
      <c r="J6" s="58">
        <v>81192</v>
      </c>
      <c r="K6" s="61"/>
    </row>
    <row r="7" spans="1:11" x14ac:dyDescent="0.25">
      <c r="A7" s="47" t="s">
        <v>308</v>
      </c>
      <c r="B7" s="58">
        <v>47031</v>
      </c>
      <c r="C7" s="58">
        <v>33256</v>
      </c>
      <c r="D7" s="58">
        <v>36470</v>
      </c>
      <c r="E7" s="58">
        <v>69296</v>
      </c>
      <c r="F7" s="58">
        <v>86009</v>
      </c>
      <c r="G7" s="58">
        <v>36349</v>
      </c>
      <c r="H7" s="58">
        <v>63213</v>
      </c>
      <c r="I7" s="58">
        <v>27447</v>
      </c>
      <c r="J7" s="58">
        <v>49037</v>
      </c>
      <c r="K7" s="61"/>
    </row>
    <row r="8" spans="1:11" x14ac:dyDescent="0.25">
      <c r="A8" s="47" t="s">
        <v>312</v>
      </c>
      <c r="B8" s="58">
        <v>8504</v>
      </c>
      <c r="C8" s="58">
        <v>19104</v>
      </c>
      <c r="D8" s="58">
        <v>66468</v>
      </c>
      <c r="E8" s="58">
        <v>60937</v>
      </c>
      <c r="F8" s="58">
        <v>4491</v>
      </c>
      <c r="G8" s="58">
        <v>61456</v>
      </c>
      <c r="H8" s="58">
        <v>36406</v>
      </c>
      <c r="I8" s="58">
        <v>49884</v>
      </c>
      <c r="J8" s="58">
        <v>29158</v>
      </c>
      <c r="K8" s="61"/>
    </row>
    <row r="9" spans="1:11" x14ac:dyDescent="0.25">
      <c r="A9" s="47" t="s">
        <v>297</v>
      </c>
      <c r="B9" s="58">
        <v>57899</v>
      </c>
      <c r="C9" s="58">
        <v>89667</v>
      </c>
      <c r="D9" s="58">
        <v>17992</v>
      </c>
      <c r="E9" s="58">
        <v>5489</v>
      </c>
      <c r="F9" s="58">
        <v>38645</v>
      </c>
      <c r="G9" s="58">
        <v>64648</v>
      </c>
      <c r="H9" s="58">
        <v>35781</v>
      </c>
      <c r="I9" s="58">
        <v>44220</v>
      </c>
      <c r="J9" s="58">
        <v>25444</v>
      </c>
      <c r="K9" s="61"/>
    </row>
    <row r="10" spans="1:11" x14ac:dyDescent="0.25">
      <c r="A10" s="47" t="s">
        <v>525</v>
      </c>
      <c r="B10" s="58">
        <v>27164</v>
      </c>
      <c r="C10" s="58">
        <v>43380</v>
      </c>
      <c r="D10" s="58">
        <v>85843</v>
      </c>
      <c r="E10" s="58">
        <v>17376</v>
      </c>
      <c r="F10" s="58">
        <v>12029</v>
      </c>
      <c r="G10" s="58">
        <v>5127</v>
      </c>
      <c r="H10" s="58">
        <v>54137</v>
      </c>
      <c r="I10" s="58">
        <v>41644</v>
      </c>
      <c r="J10" s="58">
        <v>49614</v>
      </c>
      <c r="K10" s="61"/>
    </row>
    <row r="11" spans="1:11" x14ac:dyDescent="0.25">
      <c r="A11" s="47" t="s">
        <v>314</v>
      </c>
      <c r="B11" s="58">
        <v>40898</v>
      </c>
      <c r="C11" s="58">
        <v>82381</v>
      </c>
      <c r="D11" s="58">
        <v>64769</v>
      </c>
      <c r="E11" s="58">
        <v>12667</v>
      </c>
      <c r="F11" s="58">
        <v>58456</v>
      </c>
      <c r="G11" s="58">
        <v>62096</v>
      </c>
      <c r="H11" s="58">
        <v>13950</v>
      </c>
      <c r="I11" s="58">
        <v>76708</v>
      </c>
      <c r="J11" s="58">
        <v>14603</v>
      </c>
      <c r="K11" s="61"/>
    </row>
    <row r="12" spans="1:11" x14ac:dyDescent="0.25">
      <c r="A12" s="60" t="s">
        <v>526</v>
      </c>
      <c r="B12" s="58">
        <v>15075</v>
      </c>
      <c r="C12" s="58">
        <v>83550</v>
      </c>
      <c r="D12" s="58">
        <v>81173</v>
      </c>
      <c r="E12" s="58">
        <v>73389</v>
      </c>
      <c r="F12" s="58">
        <v>9875</v>
      </c>
      <c r="G12" s="58">
        <v>9776</v>
      </c>
      <c r="H12" s="58">
        <v>60268</v>
      </c>
      <c r="I12" s="58">
        <v>64894</v>
      </c>
      <c r="J12" s="58">
        <v>28442</v>
      </c>
      <c r="K12" s="61"/>
    </row>
    <row r="13" spans="1:11" x14ac:dyDescent="0.25">
      <c r="A13" s="60" t="s">
        <v>527</v>
      </c>
      <c r="B13" s="58">
        <v>4843</v>
      </c>
      <c r="C13" s="58">
        <v>2679</v>
      </c>
      <c r="D13" s="58">
        <v>75243</v>
      </c>
      <c r="E13" s="58">
        <v>69047</v>
      </c>
      <c r="F13" s="58">
        <v>4767</v>
      </c>
      <c r="G13" s="58">
        <v>87440</v>
      </c>
      <c r="H13" s="58">
        <v>3363</v>
      </c>
      <c r="I13" s="58">
        <v>45477</v>
      </c>
      <c r="J13" s="58">
        <v>11336</v>
      </c>
      <c r="K13" s="61"/>
    </row>
    <row r="14" spans="1:11" x14ac:dyDescent="0.25">
      <c r="A14" s="60" t="s">
        <v>528</v>
      </c>
      <c r="B14" s="58">
        <v>66510</v>
      </c>
      <c r="C14" s="58">
        <v>9918</v>
      </c>
      <c r="D14" s="58">
        <v>34669</v>
      </c>
      <c r="E14" s="58">
        <v>88115</v>
      </c>
      <c r="F14" s="58">
        <v>7808</v>
      </c>
      <c r="G14" s="58">
        <v>59980</v>
      </c>
      <c r="H14" s="58">
        <v>58479</v>
      </c>
      <c r="I14" s="58">
        <v>88946</v>
      </c>
      <c r="J14" s="58">
        <v>36713</v>
      </c>
      <c r="K14" s="61"/>
    </row>
    <row r="15" spans="1:11" x14ac:dyDescent="0.25">
      <c r="A15" s="60" t="s">
        <v>529</v>
      </c>
      <c r="B15" s="58">
        <v>13915</v>
      </c>
      <c r="C15" s="58">
        <v>21167</v>
      </c>
      <c r="D15" s="58">
        <v>51308</v>
      </c>
      <c r="E15" s="58">
        <v>39355</v>
      </c>
      <c r="F15" s="58">
        <v>6253</v>
      </c>
      <c r="G15" s="58">
        <v>37446</v>
      </c>
      <c r="H15" s="58">
        <v>31279</v>
      </c>
      <c r="I15" s="58">
        <v>18894</v>
      </c>
      <c r="J15" s="58">
        <v>54069</v>
      </c>
      <c r="K15" s="61"/>
    </row>
  </sheetData>
  <dataConsolidate topLabels="1">
    <dataRefs count="4">
      <dataRef ref="A6:D16" sheet="2022" r:id="rId1"/>
      <dataRef ref="F6:I16" sheet="2022" r:id="rId2"/>
      <dataRef ref="K6:N16" sheet="2022" r:id="rId3"/>
      <dataRef ref="P6:S16" sheet="2022" r:id="rId4"/>
    </dataRefs>
  </dataConsolidate>
  <mergeCells count="1">
    <mergeCell ref="A4:K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16"/>
  <sheetViews>
    <sheetView showGridLines="0" workbookViewId="0">
      <selection activeCell="L7" sqref="L7"/>
    </sheetView>
  </sheetViews>
  <sheetFormatPr baseColWidth="10" defaultRowHeight="15" x14ac:dyDescent="0.25"/>
  <cols>
    <col min="1" max="1" width="3" customWidth="1"/>
    <col min="2" max="2" width="11.28515625" bestFit="1" customWidth="1"/>
    <col min="3" max="4" width="12.7109375" bestFit="1" customWidth="1"/>
    <col min="5" max="5" width="13.5703125" bestFit="1" customWidth="1"/>
    <col min="6" max="11" width="12.7109375" bestFit="1" customWidth="1"/>
    <col min="12" max="12" width="13.7109375" bestFit="1" customWidth="1"/>
  </cols>
  <sheetData>
    <row r="5" spans="2:12" ht="21" x14ac:dyDescent="0.35">
      <c r="B5" s="95">
        <v>2023</v>
      </c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2:12" x14ac:dyDescent="0.25">
      <c r="B6" s="59" t="s">
        <v>531</v>
      </c>
      <c r="C6" s="59" t="s">
        <v>530</v>
      </c>
      <c r="D6" s="59" t="s">
        <v>532</v>
      </c>
      <c r="E6" s="59" t="s">
        <v>533</v>
      </c>
      <c r="F6" s="59" t="s">
        <v>534</v>
      </c>
      <c r="G6" s="59" t="s">
        <v>535</v>
      </c>
      <c r="H6" s="59" t="s">
        <v>536</v>
      </c>
      <c r="I6" s="59" t="s">
        <v>537</v>
      </c>
      <c r="J6" s="59" t="s">
        <v>538</v>
      </c>
      <c r="K6" s="59" t="s">
        <v>539</v>
      </c>
      <c r="L6" s="59" t="s">
        <v>540</v>
      </c>
    </row>
    <row r="7" spans="2:12" x14ac:dyDescent="0.25">
      <c r="B7" s="47" t="s">
        <v>295</v>
      </c>
      <c r="C7" s="58">
        <v>57324</v>
      </c>
      <c r="D7" s="58">
        <v>61373</v>
      </c>
      <c r="E7" s="58">
        <v>53209</v>
      </c>
      <c r="F7" s="58">
        <v>71399</v>
      </c>
      <c r="G7" s="58">
        <v>63688</v>
      </c>
      <c r="H7" s="58">
        <v>37670</v>
      </c>
      <c r="I7" s="58">
        <v>20216</v>
      </c>
      <c r="J7" s="58">
        <v>25264</v>
      </c>
      <c r="K7" s="58">
        <v>25061</v>
      </c>
      <c r="L7" s="61"/>
    </row>
    <row r="8" spans="2:12" x14ac:dyDescent="0.25">
      <c r="B8" s="47" t="s">
        <v>308</v>
      </c>
      <c r="C8" s="58">
        <v>44637</v>
      </c>
      <c r="D8" s="58">
        <v>77451</v>
      </c>
      <c r="E8" s="58">
        <v>36825</v>
      </c>
      <c r="F8" s="58">
        <v>59140</v>
      </c>
      <c r="G8" s="58">
        <v>2894</v>
      </c>
      <c r="H8" s="58">
        <v>37252</v>
      </c>
      <c r="I8" s="58">
        <v>53330</v>
      </c>
      <c r="J8" s="58">
        <v>73190</v>
      </c>
      <c r="K8" s="58">
        <v>7074</v>
      </c>
      <c r="L8" s="61"/>
    </row>
    <row r="9" spans="2:12" x14ac:dyDescent="0.25">
      <c r="B9" s="47" t="s">
        <v>312</v>
      </c>
      <c r="C9" s="58">
        <v>82646</v>
      </c>
      <c r="D9" s="58">
        <v>17272</v>
      </c>
      <c r="E9" s="58">
        <v>36950</v>
      </c>
      <c r="F9" s="58">
        <v>66503</v>
      </c>
      <c r="G9" s="58">
        <v>47049</v>
      </c>
      <c r="H9" s="58">
        <v>52577</v>
      </c>
      <c r="I9" s="58">
        <v>95344</v>
      </c>
      <c r="J9" s="58">
        <v>80351</v>
      </c>
      <c r="K9" s="58">
        <v>47143</v>
      </c>
      <c r="L9" s="61"/>
    </row>
    <row r="10" spans="2:12" x14ac:dyDescent="0.25">
      <c r="B10" s="47" t="s">
        <v>297</v>
      </c>
      <c r="C10" s="58">
        <v>64874</v>
      </c>
      <c r="D10" s="58">
        <v>53547</v>
      </c>
      <c r="E10" s="58">
        <v>62738</v>
      </c>
      <c r="F10" s="58">
        <v>42123</v>
      </c>
      <c r="G10" s="58">
        <v>24859</v>
      </c>
      <c r="H10" s="58">
        <v>3219</v>
      </c>
      <c r="I10" s="58">
        <v>15987</v>
      </c>
      <c r="J10" s="58">
        <v>8127</v>
      </c>
      <c r="K10" s="58">
        <v>53152</v>
      </c>
      <c r="L10" s="61"/>
    </row>
    <row r="11" spans="2:12" x14ac:dyDescent="0.25">
      <c r="B11" s="47" t="s">
        <v>525</v>
      </c>
      <c r="C11" s="58">
        <v>38183</v>
      </c>
      <c r="D11" s="58">
        <v>98721</v>
      </c>
      <c r="E11" s="58">
        <v>36161</v>
      </c>
      <c r="F11" s="58">
        <v>78377</v>
      </c>
      <c r="G11" s="58">
        <v>60979</v>
      </c>
      <c r="H11" s="58">
        <v>11656</v>
      </c>
      <c r="I11" s="58">
        <v>56106</v>
      </c>
      <c r="J11" s="58">
        <v>25488</v>
      </c>
      <c r="K11" s="58">
        <v>55891</v>
      </c>
      <c r="L11" s="61"/>
    </row>
    <row r="12" spans="2:12" x14ac:dyDescent="0.25">
      <c r="B12" s="47" t="s">
        <v>314</v>
      </c>
      <c r="C12" s="58">
        <v>24335</v>
      </c>
      <c r="D12" s="58">
        <v>51559</v>
      </c>
      <c r="E12" s="58">
        <v>37328</v>
      </c>
      <c r="F12" s="58">
        <v>65043</v>
      </c>
      <c r="G12" s="58">
        <v>54748</v>
      </c>
      <c r="H12" s="58">
        <v>56884</v>
      </c>
      <c r="I12" s="58">
        <v>40877</v>
      </c>
      <c r="J12" s="58">
        <v>53178</v>
      </c>
      <c r="K12" s="58">
        <v>83745</v>
      </c>
      <c r="L12" s="61"/>
    </row>
    <row r="13" spans="2:12" x14ac:dyDescent="0.25">
      <c r="B13" s="60" t="s">
        <v>526</v>
      </c>
      <c r="C13" s="58">
        <v>33890</v>
      </c>
      <c r="D13" s="58">
        <v>88866</v>
      </c>
      <c r="E13" s="58">
        <v>39117</v>
      </c>
      <c r="F13" s="58">
        <v>79687</v>
      </c>
      <c r="G13" s="58">
        <v>22628</v>
      </c>
      <c r="H13" s="58">
        <v>21360</v>
      </c>
      <c r="I13" s="58">
        <v>56825</v>
      </c>
      <c r="J13" s="58">
        <v>79666</v>
      </c>
      <c r="K13" s="58">
        <v>26718</v>
      </c>
      <c r="L13" s="61"/>
    </row>
    <row r="14" spans="2:12" x14ac:dyDescent="0.25">
      <c r="B14" s="60" t="s">
        <v>527</v>
      </c>
      <c r="C14" s="58">
        <v>40040</v>
      </c>
      <c r="D14" s="58">
        <v>54885</v>
      </c>
      <c r="E14" s="58">
        <v>97289</v>
      </c>
      <c r="F14" s="58">
        <v>27520</v>
      </c>
      <c r="G14" s="58">
        <v>21252</v>
      </c>
      <c r="H14" s="58">
        <v>81279</v>
      </c>
      <c r="I14" s="58">
        <v>88436</v>
      </c>
      <c r="J14" s="58">
        <v>48729</v>
      </c>
      <c r="K14" s="58">
        <v>97254</v>
      </c>
      <c r="L14" s="61"/>
    </row>
    <row r="15" spans="2:12" x14ac:dyDescent="0.25">
      <c r="B15" s="60" t="s">
        <v>528</v>
      </c>
      <c r="C15" s="58">
        <v>17561</v>
      </c>
      <c r="D15" s="58">
        <v>93119</v>
      </c>
      <c r="E15" s="58">
        <v>87683</v>
      </c>
      <c r="F15" s="58">
        <v>89352</v>
      </c>
      <c r="G15" s="58">
        <v>48762</v>
      </c>
      <c r="H15" s="58">
        <v>54365</v>
      </c>
      <c r="I15" s="58">
        <v>98448</v>
      </c>
      <c r="J15" s="58">
        <v>45878</v>
      </c>
      <c r="K15" s="58">
        <v>4893</v>
      </c>
      <c r="L15" s="61"/>
    </row>
    <row r="16" spans="2:12" x14ac:dyDescent="0.25">
      <c r="B16" s="60" t="s">
        <v>529</v>
      </c>
      <c r="C16" s="58">
        <v>20262</v>
      </c>
      <c r="D16" s="58">
        <v>59324</v>
      </c>
      <c r="E16" s="58">
        <v>60828</v>
      </c>
      <c r="F16" s="58">
        <v>64160</v>
      </c>
      <c r="G16" s="58">
        <v>2955</v>
      </c>
      <c r="H16" s="58">
        <v>40396</v>
      </c>
      <c r="I16" s="58">
        <v>32332</v>
      </c>
      <c r="J16" s="58">
        <v>51384</v>
      </c>
      <c r="K16" s="58">
        <v>97248</v>
      </c>
      <c r="L16" s="61"/>
    </row>
  </sheetData>
  <mergeCells count="1">
    <mergeCell ref="B5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5"/>
  <sheetViews>
    <sheetView showGridLines="0" workbookViewId="0">
      <selection activeCell="L6" sqref="L6"/>
    </sheetView>
  </sheetViews>
  <sheetFormatPr baseColWidth="10" defaultRowHeight="15" x14ac:dyDescent="0.25"/>
  <cols>
    <col min="1" max="1" width="5.140625" customWidth="1"/>
    <col min="2" max="2" width="11.28515625" bestFit="1" customWidth="1"/>
    <col min="3" max="4" width="12.7109375" bestFit="1" customWidth="1"/>
    <col min="5" max="5" width="13.5703125" bestFit="1" customWidth="1"/>
    <col min="6" max="11" width="12.7109375" bestFit="1" customWidth="1"/>
    <col min="12" max="12" width="13.7109375" bestFit="1" customWidth="1"/>
  </cols>
  <sheetData>
    <row r="4" spans="2:12" ht="21" x14ac:dyDescent="0.35">
      <c r="B4" s="95">
        <v>2024</v>
      </c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2:12" x14ac:dyDescent="0.25">
      <c r="B5" s="59" t="s">
        <v>531</v>
      </c>
      <c r="C5" s="59" t="s">
        <v>530</v>
      </c>
      <c r="D5" s="59" t="s">
        <v>532</v>
      </c>
      <c r="E5" s="59" t="s">
        <v>533</v>
      </c>
      <c r="F5" s="59" t="s">
        <v>534</v>
      </c>
      <c r="G5" s="59" t="s">
        <v>535</v>
      </c>
      <c r="H5" s="59" t="s">
        <v>536</v>
      </c>
      <c r="I5" s="59" t="s">
        <v>537</v>
      </c>
      <c r="J5" s="59" t="s">
        <v>538</v>
      </c>
      <c r="K5" s="59" t="s">
        <v>539</v>
      </c>
      <c r="L5" s="59" t="s">
        <v>540</v>
      </c>
    </row>
    <row r="6" spans="2:12" x14ac:dyDescent="0.25">
      <c r="B6" s="47" t="s">
        <v>295</v>
      </c>
      <c r="C6" s="58">
        <v>36582</v>
      </c>
      <c r="D6" s="58">
        <v>8027</v>
      </c>
      <c r="E6" s="58">
        <v>31349</v>
      </c>
      <c r="F6" s="58">
        <v>60047</v>
      </c>
      <c r="G6" s="58">
        <v>58075</v>
      </c>
      <c r="H6" s="58">
        <v>15291</v>
      </c>
      <c r="I6" s="58">
        <v>31331</v>
      </c>
      <c r="J6" s="58">
        <v>69018</v>
      </c>
      <c r="K6" s="58">
        <v>62749</v>
      </c>
      <c r="L6" s="61"/>
    </row>
    <row r="7" spans="2:12" x14ac:dyDescent="0.25">
      <c r="B7" s="47" t="s">
        <v>308</v>
      </c>
      <c r="C7" s="58">
        <v>48229</v>
      </c>
      <c r="D7" s="58">
        <v>72617</v>
      </c>
      <c r="E7" s="58">
        <v>67530</v>
      </c>
      <c r="F7" s="58">
        <v>30323</v>
      </c>
      <c r="G7" s="58">
        <v>31527</v>
      </c>
      <c r="H7" s="58">
        <v>59542</v>
      </c>
      <c r="I7" s="58">
        <v>39113</v>
      </c>
      <c r="J7" s="58">
        <v>76486</v>
      </c>
      <c r="K7" s="58">
        <v>52707</v>
      </c>
      <c r="L7" s="61"/>
    </row>
    <row r="8" spans="2:12" x14ac:dyDescent="0.25">
      <c r="B8" s="47" t="s">
        <v>312</v>
      </c>
      <c r="C8" s="58">
        <v>4030</v>
      </c>
      <c r="D8" s="58">
        <v>26504</v>
      </c>
      <c r="E8" s="58">
        <v>47978</v>
      </c>
      <c r="F8" s="58">
        <v>60686</v>
      </c>
      <c r="G8" s="58">
        <v>59601</v>
      </c>
      <c r="H8" s="58">
        <v>32429</v>
      </c>
      <c r="I8" s="58">
        <v>10967</v>
      </c>
      <c r="J8" s="58">
        <v>43516</v>
      </c>
      <c r="K8" s="58">
        <v>32006</v>
      </c>
      <c r="L8" s="61"/>
    </row>
    <row r="9" spans="2:12" x14ac:dyDescent="0.25">
      <c r="B9" s="47" t="s">
        <v>297</v>
      </c>
      <c r="C9" s="58">
        <v>37467</v>
      </c>
      <c r="D9" s="58">
        <v>45387</v>
      </c>
      <c r="E9" s="58">
        <v>51884</v>
      </c>
      <c r="F9" s="58">
        <v>56526</v>
      </c>
      <c r="G9" s="58">
        <v>17109</v>
      </c>
      <c r="H9" s="58">
        <v>57339</v>
      </c>
      <c r="I9" s="58">
        <v>79060</v>
      </c>
      <c r="J9" s="58">
        <v>33267</v>
      </c>
      <c r="K9" s="58">
        <v>42076</v>
      </c>
      <c r="L9" s="61"/>
    </row>
    <row r="10" spans="2:12" x14ac:dyDescent="0.25">
      <c r="B10" s="47" t="s">
        <v>525</v>
      </c>
      <c r="C10" s="58">
        <v>3668</v>
      </c>
      <c r="D10" s="58">
        <v>13112</v>
      </c>
      <c r="E10" s="58">
        <v>50909</v>
      </c>
      <c r="F10" s="58">
        <v>75322</v>
      </c>
      <c r="G10" s="58">
        <v>50033</v>
      </c>
      <c r="H10" s="58">
        <v>13758</v>
      </c>
      <c r="I10" s="58">
        <v>42885</v>
      </c>
      <c r="J10" s="58">
        <v>78001</v>
      </c>
      <c r="K10" s="58">
        <v>33702</v>
      </c>
      <c r="L10" s="61"/>
    </row>
    <row r="11" spans="2:12" x14ac:dyDescent="0.25">
      <c r="B11" s="47" t="s">
        <v>314</v>
      </c>
      <c r="C11" s="58">
        <v>59205</v>
      </c>
      <c r="D11" s="58">
        <v>21603</v>
      </c>
      <c r="E11" s="58">
        <v>28341</v>
      </c>
      <c r="F11" s="58">
        <v>22778</v>
      </c>
      <c r="G11" s="58">
        <v>20032</v>
      </c>
      <c r="H11" s="58">
        <v>26350</v>
      </c>
      <c r="I11" s="58">
        <v>64417</v>
      </c>
      <c r="J11" s="58">
        <v>36652</v>
      </c>
      <c r="K11" s="58">
        <v>22628</v>
      </c>
      <c r="L11" s="61"/>
    </row>
    <row r="12" spans="2:12" x14ac:dyDescent="0.25">
      <c r="B12" s="60" t="s">
        <v>526</v>
      </c>
      <c r="C12" s="58">
        <v>57447</v>
      </c>
      <c r="D12" s="58">
        <v>45342</v>
      </c>
      <c r="E12" s="58">
        <v>48723</v>
      </c>
      <c r="F12" s="58">
        <v>16946</v>
      </c>
      <c r="G12" s="58">
        <v>37989</v>
      </c>
      <c r="H12" s="58">
        <v>56322</v>
      </c>
      <c r="I12" s="58">
        <v>20625</v>
      </c>
      <c r="J12" s="58">
        <v>65225</v>
      </c>
      <c r="K12" s="58">
        <v>29965</v>
      </c>
      <c r="L12" s="61"/>
    </row>
    <row r="13" spans="2:12" x14ac:dyDescent="0.25">
      <c r="B13" s="60" t="s">
        <v>527</v>
      </c>
      <c r="C13" s="58">
        <v>74796</v>
      </c>
      <c r="D13" s="58">
        <v>54925</v>
      </c>
      <c r="E13" s="58">
        <v>24938</v>
      </c>
      <c r="F13" s="58">
        <v>38526</v>
      </c>
      <c r="G13" s="58">
        <v>5157</v>
      </c>
      <c r="H13" s="58">
        <v>70649</v>
      </c>
      <c r="I13" s="58">
        <v>49922</v>
      </c>
      <c r="J13" s="58">
        <v>43250</v>
      </c>
      <c r="K13" s="58">
        <v>61637</v>
      </c>
      <c r="L13" s="61"/>
    </row>
    <row r="14" spans="2:12" x14ac:dyDescent="0.25">
      <c r="B14" s="60" t="s">
        <v>528</v>
      </c>
      <c r="C14" s="58">
        <v>46498</v>
      </c>
      <c r="D14" s="58">
        <v>14600</v>
      </c>
      <c r="E14" s="58">
        <v>18857</v>
      </c>
      <c r="F14" s="58">
        <v>53484</v>
      </c>
      <c r="G14" s="58">
        <v>63480</v>
      </c>
      <c r="H14" s="58">
        <v>29874</v>
      </c>
      <c r="I14" s="58">
        <v>18449</v>
      </c>
      <c r="J14" s="58">
        <v>62952</v>
      </c>
      <c r="K14" s="58">
        <v>73996</v>
      </c>
      <c r="L14" s="61"/>
    </row>
    <row r="15" spans="2:12" x14ac:dyDescent="0.25">
      <c r="B15" s="60" t="s">
        <v>529</v>
      </c>
      <c r="C15" s="58">
        <v>38466</v>
      </c>
      <c r="D15" s="58">
        <v>75908</v>
      </c>
      <c r="E15" s="58">
        <v>33635</v>
      </c>
      <c r="F15" s="58">
        <v>11138</v>
      </c>
      <c r="G15" s="58">
        <v>27779</v>
      </c>
      <c r="H15" s="58">
        <v>76883</v>
      </c>
      <c r="I15" s="58">
        <v>54070</v>
      </c>
      <c r="J15" s="58">
        <v>50846</v>
      </c>
      <c r="K15" s="58">
        <v>50528</v>
      </c>
      <c r="L15" s="61"/>
    </row>
  </sheetData>
  <mergeCells count="1">
    <mergeCell ref="B4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5"/>
  <sheetViews>
    <sheetView showGridLines="0" workbookViewId="0">
      <selection activeCell="L18" sqref="L18"/>
    </sheetView>
  </sheetViews>
  <sheetFormatPr baseColWidth="10" defaultRowHeight="15" x14ac:dyDescent="0.25"/>
  <cols>
    <col min="2" max="2" width="11.28515625" bestFit="1" customWidth="1"/>
    <col min="3" max="4" width="12.7109375" bestFit="1" customWidth="1"/>
    <col min="5" max="5" width="13.5703125" bestFit="1" customWidth="1"/>
    <col min="6" max="11" width="12.7109375" bestFit="1" customWidth="1"/>
    <col min="12" max="12" width="13.7109375" bestFit="1" customWidth="1"/>
  </cols>
  <sheetData>
    <row r="4" spans="2:12" ht="21" x14ac:dyDescent="0.35">
      <c r="B4" s="95">
        <v>2025</v>
      </c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2:12" x14ac:dyDescent="0.25">
      <c r="B5" s="59" t="s">
        <v>531</v>
      </c>
      <c r="C5" s="59" t="s">
        <v>530</v>
      </c>
      <c r="D5" s="59" t="s">
        <v>532</v>
      </c>
      <c r="E5" s="59" t="s">
        <v>533</v>
      </c>
      <c r="F5" s="59" t="s">
        <v>534</v>
      </c>
      <c r="G5" s="59" t="s">
        <v>535</v>
      </c>
      <c r="H5" s="59" t="s">
        <v>536</v>
      </c>
      <c r="I5" s="59" t="s">
        <v>537</v>
      </c>
      <c r="J5" s="59" t="s">
        <v>538</v>
      </c>
      <c r="K5" s="59" t="s">
        <v>539</v>
      </c>
      <c r="L5" s="59" t="s">
        <v>540</v>
      </c>
    </row>
    <row r="6" spans="2:12" x14ac:dyDescent="0.25">
      <c r="B6" s="47" t="s">
        <v>295</v>
      </c>
      <c r="C6" s="58">
        <v>41619</v>
      </c>
      <c r="D6" s="58">
        <v>48746</v>
      </c>
      <c r="E6" s="58">
        <v>28572</v>
      </c>
      <c r="F6" s="58">
        <v>40460</v>
      </c>
      <c r="G6" s="58">
        <v>65726</v>
      </c>
      <c r="H6" s="58">
        <v>37948</v>
      </c>
      <c r="I6" s="58">
        <v>54532</v>
      </c>
      <c r="J6" s="58">
        <v>16215</v>
      </c>
      <c r="K6" s="58">
        <v>50613</v>
      </c>
      <c r="L6" s="61"/>
    </row>
    <row r="7" spans="2:12" x14ac:dyDescent="0.25">
      <c r="B7" s="47" t="s">
        <v>308</v>
      </c>
      <c r="C7" s="58">
        <v>5399</v>
      </c>
      <c r="D7" s="58">
        <v>22168</v>
      </c>
      <c r="E7" s="58">
        <v>52103</v>
      </c>
      <c r="F7" s="58">
        <v>57416</v>
      </c>
      <c r="G7" s="58">
        <v>43423</v>
      </c>
      <c r="H7" s="58">
        <v>59708</v>
      </c>
      <c r="I7" s="58">
        <v>59799</v>
      </c>
      <c r="J7" s="58">
        <v>31643</v>
      </c>
      <c r="K7" s="58">
        <v>52454</v>
      </c>
      <c r="L7" s="61"/>
    </row>
    <row r="8" spans="2:12" x14ac:dyDescent="0.25">
      <c r="B8" s="47" t="s">
        <v>312</v>
      </c>
      <c r="C8" s="58">
        <v>13804</v>
      </c>
      <c r="D8" s="58">
        <v>29760</v>
      </c>
      <c r="E8" s="58">
        <v>13315</v>
      </c>
      <c r="F8" s="58">
        <v>35082</v>
      </c>
      <c r="G8" s="58">
        <v>4918</v>
      </c>
      <c r="H8" s="58">
        <v>67961</v>
      </c>
      <c r="I8" s="58">
        <v>56622</v>
      </c>
      <c r="J8" s="58">
        <v>60182</v>
      </c>
      <c r="K8" s="58">
        <v>26515</v>
      </c>
      <c r="L8" s="61"/>
    </row>
    <row r="9" spans="2:12" x14ac:dyDescent="0.25">
      <c r="B9" s="47" t="s">
        <v>297</v>
      </c>
      <c r="C9" s="58">
        <v>66380</v>
      </c>
      <c r="D9" s="58">
        <v>23096</v>
      </c>
      <c r="E9" s="58">
        <v>5730</v>
      </c>
      <c r="F9" s="58">
        <v>10444</v>
      </c>
      <c r="G9" s="58">
        <v>16602</v>
      </c>
      <c r="H9" s="58">
        <v>9073</v>
      </c>
      <c r="I9" s="58">
        <v>38544</v>
      </c>
      <c r="J9" s="58">
        <v>22076</v>
      </c>
      <c r="K9" s="58">
        <v>8257</v>
      </c>
      <c r="L9" s="61"/>
    </row>
    <row r="10" spans="2:12" x14ac:dyDescent="0.25">
      <c r="B10" s="47" t="s">
        <v>525</v>
      </c>
      <c r="C10" s="58">
        <v>6395</v>
      </c>
      <c r="D10" s="58">
        <v>12634</v>
      </c>
      <c r="E10" s="58">
        <v>42355</v>
      </c>
      <c r="F10" s="58">
        <v>39286</v>
      </c>
      <c r="G10" s="58">
        <v>18104</v>
      </c>
      <c r="H10" s="58">
        <v>68663</v>
      </c>
      <c r="I10" s="58">
        <v>61476</v>
      </c>
      <c r="J10" s="58">
        <v>63852</v>
      </c>
      <c r="K10" s="58">
        <v>5485</v>
      </c>
      <c r="L10" s="61"/>
    </row>
    <row r="11" spans="2:12" x14ac:dyDescent="0.25">
      <c r="B11" s="47" t="s">
        <v>314</v>
      </c>
      <c r="C11" s="58">
        <v>18689</v>
      </c>
      <c r="D11" s="58">
        <v>13658</v>
      </c>
      <c r="E11" s="58">
        <v>56441</v>
      </c>
      <c r="F11" s="58">
        <v>27666</v>
      </c>
      <c r="G11" s="58">
        <v>40401</v>
      </c>
      <c r="H11" s="58">
        <v>33047</v>
      </c>
      <c r="I11" s="58">
        <v>43218</v>
      </c>
      <c r="J11" s="58">
        <v>49606</v>
      </c>
      <c r="K11" s="58">
        <v>19083</v>
      </c>
      <c r="L11" s="61"/>
    </row>
    <row r="12" spans="2:12" x14ac:dyDescent="0.25">
      <c r="B12" s="60" t="s">
        <v>526</v>
      </c>
      <c r="C12" s="58">
        <v>49266</v>
      </c>
      <c r="D12" s="58">
        <v>17682</v>
      </c>
      <c r="E12" s="58">
        <v>60877</v>
      </c>
      <c r="F12" s="58">
        <v>41661</v>
      </c>
      <c r="G12" s="58">
        <v>40365</v>
      </c>
      <c r="H12" s="58">
        <v>42071</v>
      </c>
      <c r="I12" s="58">
        <v>18371</v>
      </c>
      <c r="J12" s="58">
        <v>56193</v>
      </c>
      <c r="K12" s="58">
        <v>13412</v>
      </c>
      <c r="L12" s="61"/>
    </row>
    <row r="13" spans="2:12" x14ac:dyDescent="0.25">
      <c r="B13" s="60" t="s">
        <v>527</v>
      </c>
      <c r="C13" s="58">
        <v>54554</v>
      </c>
      <c r="D13" s="58">
        <v>42071</v>
      </c>
      <c r="E13" s="58">
        <v>10738</v>
      </c>
      <c r="F13" s="58">
        <v>62862</v>
      </c>
      <c r="G13" s="58">
        <v>10107</v>
      </c>
      <c r="H13" s="58">
        <v>40190</v>
      </c>
      <c r="I13" s="58">
        <v>65412</v>
      </c>
      <c r="J13" s="58">
        <v>65297</v>
      </c>
      <c r="K13" s="58">
        <v>25970</v>
      </c>
      <c r="L13" s="61"/>
    </row>
    <row r="14" spans="2:12" x14ac:dyDescent="0.25">
      <c r="B14" s="60" t="s">
        <v>528</v>
      </c>
      <c r="C14" s="58">
        <v>6064</v>
      </c>
      <c r="D14" s="58">
        <v>47595</v>
      </c>
      <c r="E14" s="58">
        <v>10130</v>
      </c>
      <c r="F14" s="58">
        <v>4093</v>
      </c>
      <c r="G14" s="58">
        <v>63295</v>
      </c>
      <c r="H14" s="58">
        <v>17928</v>
      </c>
      <c r="I14" s="58">
        <v>32001</v>
      </c>
      <c r="J14" s="58">
        <v>8450</v>
      </c>
      <c r="K14" s="58">
        <v>37452</v>
      </c>
      <c r="L14" s="61"/>
    </row>
    <row r="15" spans="2:12" x14ac:dyDescent="0.25">
      <c r="B15" s="60" t="s">
        <v>529</v>
      </c>
      <c r="C15" s="58">
        <v>37676</v>
      </c>
      <c r="D15" s="58">
        <v>69754</v>
      </c>
      <c r="E15" s="58">
        <v>19167</v>
      </c>
      <c r="F15" s="58">
        <v>48361</v>
      </c>
      <c r="G15" s="58">
        <v>30351</v>
      </c>
      <c r="H15" s="58">
        <v>22246</v>
      </c>
      <c r="I15" s="58">
        <v>45439</v>
      </c>
      <c r="J15" s="58">
        <v>8899</v>
      </c>
      <c r="K15" s="58">
        <v>51208</v>
      </c>
      <c r="L15" s="61"/>
    </row>
  </sheetData>
  <mergeCells count="1">
    <mergeCell ref="B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PSI</vt:lpstr>
      <vt:lpstr>AP1</vt:lpstr>
      <vt:lpstr>AP2</vt:lpstr>
      <vt:lpstr>AP4</vt:lpstr>
      <vt:lpstr>AP5</vt:lpstr>
      <vt:lpstr>AP6</vt:lpstr>
      <vt:lpstr>AP7</vt:lpstr>
      <vt:lpstr>2022</vt:lpstr>
      <vt:lpstr>2023</vt:lpstr>
      <vt:lpstr>2024</vt:lpstr>
      <vt:lpstr>2025</vt:lpstr>
      <vt:lpstr>PSI!_Hlk180132863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2026-04-26T14:23:18Z</dcterms:modified>
</cp:coreProperties>
</file>