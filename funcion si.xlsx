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esktop\EXCEL AVANZADO\"/>
    </mc:Choice>
  </mc:AlternateContent>
  <xr:revisionPtr revIDLastSave="0" documentId="13_ncr:1_{263AB528-AA1C-4403-B9E0-1D33BB4AEB3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9" sheetId="9" r:id="rId8"/>
    <sheet name="Hoja8" sheetId="8" r:id="rId9"/>
    <sheet name="Hoja10" sheetId="10" r:id="rId10"/>
    <sheet name="Hoja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2" i="1"/>
  <c r="E11" i="1"/>
  <c r="E10" i="1"/>
  <c r="E8" i="1"/>
  <c r="E7" i="1"/>
  <c r="E6" i="1"/>
  <c r="E4" i="1"/>
  <c r="E5" i="1"/>
  <c r="E9" i="1"/>
  <c r="E13" i="1"/>
  <c r="E3" i="1"/>
  <c r="G8" i="11"/>
  <c r="G9" i="11"/>
  <c r="G10" i="11"/>
  <c r="G11" i="11"/>
  <c r="G12" i="11"/>
  <c r="G13" i="11"/>
  <c r="G14" i="11"/>
  <c r="G15" i="11"/>
  <c r="G16" i="11"/>
  <c r="G7" i="11"/>
  <c r="G8" i="10"/>
  <c r="G9" i="10"/>
  <c r="G10" i="10"/>
  <c r="G11" i="10"/>
  <c r="G12" i="10"/>
  <c r="G13" i="10"/>
  <c r="G14" i="10"/>
  <c r="G15" i="10"/>
  <c r="G16" i="10"/>
  <c r="G7" i="10"/>
  <c r="H6" i="9"/>
  <c r="H7" i="9"/>
  <c r="H8" i="9"/>
  <c r="H9" i="9"/>
  <c r="H10" i="9"/>
  <c r="H11" i="9"/>
  <c r="H12" i="9"/>
  <c r="H13" i="9"/>
  <c r="H14" i="9"/>
  <c r="H5" i="9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6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4" i="6"/>
  <c r="H6" i="5"/>
  <c r="H7" i="5"/>
  <c r="H8" i="5"/>
  <c r="H9" i="5"/>
  <c r="H10" i="5"/>
  <c r="H11" i="5"/>
  <c r="H12" i="5"/>
  <c r="H13" i="5"/>
  <c r="H14" i="5"/>
  <c r="H5" i="5"/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3" i="4"/>
  <c r="F9" i="3"/>
  <c r="F10" i="3"/>
  <c r="F11" i="3"/>
  <c r="F12" i="3"/>
  <c r="F13" i="3"/>
  <c r="F14" i="3"/>
  <c r="F15" i="3"/>
  <c r="F16" i="3"/>
  <c r="F8" i="3"/>
  <c r="F7" i="3"/>
</calcChain>
</file>

<file path=xl/sharedStrings.xml><?xml version="1.0" encoding="utf-8"?>
<sst xmlns="http://schemas.openxmlformats.org/spreadsheetml/2006/main" count="497" uniqueCount="191">
  <si>
    <r>
      <t>LETRA "</t>
    </r>
    <r>
      <rPr>
        <b/>
        <sz val="10"/>
        <color indexed="62"/>
        <rFont val="Arial"/>
        <family val="2"/>
      </rPr>
      <t>A</t>
    </r>
    <r>
      <rPr>
        <b/>
        <sz val="10"/>
        <color indexed="8"/>
        <rFont val="Arial"/>
        <family val="2"/>
      </rPr>
      <t>"</t>
    </r>
  </si>
  <si>
    <r>
      <t>LETRA "</t>
    </r>
    <r>
      <rPr>
        <b/>
        <sz val="10"/>
        <color indexed="10"/>
        <rFont val="Arial"/>
        <family val="2"/>
      </rPr>
      <t>B</t>
    </r>
    <r>
      <rPr>
        <b/>
        <sz val="10"/>
        <color indexed="8"/>
        <rFont val="Arial"/>
        <family val="2"/>
      </rPr>
      <t>"</t>
    </r>
  </si>
  <si>
    <t>CONDICION</t>
  </si>
  <si>
    <t>RESULTADO</t>
  </si>
  <si>
    <t>A &gt; B</t>
  </si>
  <si>
    <t>A &lt; B</t>
  </si>
  <si>
    <t>A = B</t>
  </si>
  <si>
    <t>A &gt;= B</t>
  </si>
  <si>
    <t>A &lt;= B</t>
  </si>
  <si>
    <t>Pera</t>
  </si>
  <si>
    <t>Manzana</t>
  </si>
  <si>
    <t>A &lt; &gt; B</t>
  </si>
  <si>
    <t>Playa</t>
  </si>
  <si>
    <t>Campo</t>
  </si>
  <si>
    <t xml:space="preserve"> </t>
  </si>
  <si>
    <t>Nombres</t>
  </si>
  <si>
    <t>Prueba 1</t>
  </si>
  <si>
    <t>Prueba 2</t>
  </si>
  <si>
    <t>Promedio</t>
  </si>
  <si>
    <t>Situación</t>
  </si>
  <si>
    <t>Alquinta, Gricely</t>
  </si>
  <si>
    <t>Reprobado</t>
  </si>
  <si>
    <t>Arteaga, Cyntia</t>
  </si>
  <si>
    <t>Promovido</t>
  </si>
  <si>
    <t>Barra, Andrea</t>
  </si>
  <si>
    <t>Burgos, Andrés</t>
  </si>
  <si>
    <t>Catalán, Jimena</t>
  </si>
  <si>
    <t>Durán, Felipe</t>
  </si>
  <si>
    <t>Gómez, Rosario</t>
  </si>
  <si>
    <t>Miranda, Ana</t>
  </si>
  <si>
    <t>CURSO PARA CONDUCTORES</t>
  </si>
  <si>
    <t>NOMBRE</t>
  </si>
  <si>
    <t>EDAD</t>
  </si>
  <si>
    <t>COMUNA</t>
  </si>
  <si>
    <t>CLASE</t>
  </si>
  <si>
    <t>PAGO</t>
  </si>
  <si>
    <t>CUOTAS</t>
  </si>
  <si>
    <t>CARLOS CONTRERAS PEREZ</t>
  </si>
  <si>
    <t>SANTIAGO</t>
  </si>
  <si>
    <t>A</t>
  </si>
  <si>
    <t>Contado</t>
  </si>
  <si>
    <t>MARIA RODRIGUEZ JARA</t>
  </si>
  <si>
    <t>RECOLETA</t>
  </si>
  <si>
    <t>B</t>
  </si>
  <si>
    <t>Credito</t>
  </si>
  <si>
    <t>TERESA RIOS TORRES</t>
  </si>
  <si>
    <t>SAN MIGUEL</t>
  </si>
  <si>
    <t>JUAN FIGUEROA SIERRA</t>
  </si>
  <si>
    <t>PROVIDENCIA</t>
  </si>
  <si>
    <t>A1</t>
  </si>
  <si>
    <t>DIEGO TRONCOSO BERRIOS</t>
  </si>
  <si>
    <t>SANDRA CASTRO DUARTE</t>
  </si>
  <si>
    <t>QUINTA NORMAL</t>
  </si>
  <si>
    <t>CECILIA NUÑES MARDONES</t>
  </si>
  <si>
    <t>RODRIGO ARIAS GARRIDO</t>
  </si>
  <si>
    <t>ALEJANDRO CARREÑO ORDOÑEZ</t>
  </si>
  <si>
    <t>CARMEN FARIAS ROMERO</t>
  </si>
  <si>
    <t>CODIGO</t>
  </si>
  <si>
    <t>NOMBRE DE PRODUCTO</t>
  </si>
  <si>
    <t>STOCK EN BODEGA</t>
  </si>
  <si>
    <t>PROCEDIMIENTO</t>
  </si>
  <si>
    <t>ALGAS KONBU</t>
  </si>
  <si>
    <t>OK</t>
  </si>
  <si>
    <t>ARENQUE AHUMADO</t>
  </si>
  <si>
    <t>ARENQUE BLANCO DEL NOROESTE</t>
  </si>
  <si>
    <t>ARENQUE SALADO</t>
  </si>
  <si>
    <t>COMPRAR</t>
  </si>
  <si>
    <t>AZÚCAR NEGRA MALACCA</t>
  </si>
  <si>
    <t>BARRAS DE PAN DE ESCOCIA</t>
  </si>
  <si>
    <t>BOLLOS DE PAN DE WIMMER</t>
  </si>
  <si>
    <t>BOLLOS DE SIR RODNEY'S</t>
  </si>
  <si>
    <t>BUEY MISHI KOBE</t>
  </si>
  <si>
    <t>CAFÉ DE MALASIA</t>
  </si>
  <si>
    <t>CAMEMBERT PIERROT</t>
  </si>
  <si>
    <t>CARACOLES DE BORGOÑA</t>
  </si>
  <si>
    <t>CARNE DE CANGREJO DE BOSTON</t>
  </si>
  <si>
    <t>CAVIAR ROJO</t>
  </si>
  <si>
    <t>CEREALES PARA FILO</t>
  </si>
  <si>
    <t>CERVEZA KLOSTERBIER RHÖNBRÄU</t>
  </si>
  <si>
    <t>CERVEZA LAUGHING LUMBERJACK</t>
  </si>
  <si>
    <t>CERVEZA NEGRA STEELEYE</t>
  </si>
  <si>
    <t>CERVEZA OUTBACK</t>
  </si>
  <si>
    <t>CERVEZA SASQUATCH</t>
  </si>
  <si>
    <t>CERVEZA TIBETANA BARLEY</t>
  </si>
  <si>
    <t>COL FERMENTADA RÖSSLE</t>
  </si>
  <si>
    <t>CORDERO ALICE SPRINGS</t>
  </si>
  <si>
    <t>CREMA DE ALMEJAS ESTILO NUEVA INGLATERRA</t>
  </si>
  <si>
    <t>CREMA DE CHOCOLATE Y NUECES NUNUCA</t>
  </si>
  <si>
    <t>CREMA DE QUESO FLØTEMYS</t>
  </si>
  <si>
    <t>CUAJADA DE JUDÍAS</t>
  </si>
  <si>
    <t>CHOCOLATE BLANCO</t>
  </si>
  <si>
    <t>CHOCOLATE HOLANDÉS</t>
  </si>
  <si>
    <t>CHOCOLATE SCHOGGI</t>
  </si>
  <si>
    <t>EMPANADA DE CARNE</t>
  </si>
  <si>
    <t>EMPANADA DE CERDO</t>
  </si>
  <si>
    <t>ESCABECHE DE ARENQUE</t>
  </si>
  <si>
    <t>ESPECIAS CAJUN DEL CHEF ANTON</t>
  </si>
  <si>
    <t>ESPECIAS PICANTES DE LUISIANA</t>
  </si>
  <si>
    <t>GALLETAS ZAANSE</t>
  </si>
  <si>
    <t>GNOCCHI DE LA ABUELA ALICIA</t>
  </si>
  <si>
    <t>LANGOSTINOS TIGRE CARNARVON</t>
  </si>
  <si>
    <t>LICOR CLOUDBERRY</t>
  </si>
  <si>
    <t>LICOR VERDE CHARTREUSE</t>
  </si>
  <si>
    <t>MANZANAS SECAS MANJIMUP</t>
  </si>
  <si>
    <t>MERMELADA DE GROSELLAS DE LA ABUELA</t>
  </si>
  <si>
    <t>MERMELADA DE SIR RODNEY'S</t>
  </si>
  <si>
    <t>MEZCLA GUMBO DEL CHEF ANTON</t>
  </si>
  <si>
    <t>OSITOS DE GOMA GUMBÄR</t>
  </si>
  <si>
    <t>PAN DE CENTENO CRUJIENTE ESTILO GUSTAF'S</t>
  </si>
  <si>
    <t>PAN FINO</t>
  </si>
  <si>
    <t>PASTAS DE TÉ DE CHOCOLATE</t>
  </si>
  <si>
    <t>PATÉ CHINO</t>
  </si>
  <si>
    <t>PERAS SECAS ORGÁNICAS DEL TÍO BOB</t>
  </si>
  <si>
    <t>PEZ ESPADA</t>
  </si>
  <si>
    <t>POSTRE DE MERENGUE PAVLOVA</t>
  </si>
  <si>
    <t>QUESO CABRALES</t>
  </si>
  <si>
    <t>QUESO DE CABRA</t>
  </si>
  <si>
    <t>QUESO DE SOJA LONGLIFE</t>
  </si>
  <si>
    <t>QUESO GORGONZOLA TELINO</t>
  </si>
  <si>
    <t>QUESO GUDBRANDSDALS</t>
  </si>
  <si>
    <t>QUESO MANCHEGO LA PASTORA</t>
  </si>
  <si>
    <t>QUESO MASCARPONE FABIOLI</t>
  </si>
  <si>
    <t>QUESO MOZZARELLA GIOVANNI</t>
  </si>
  <si>
    <t>RACLET DE QUESO COURDAVAULT</t>
  </si>
  <si>
    <t>RAVIOLIS ANGELO</t>
  </si>
  <si>
    <t>REFRESCO GUARANÁ FANTÁSTICA</t>
  </si>
  <si>
    <t>REGALIZ</t>
  </si>
  <si>
    <t>SALCHICHA THÜRINGER</t>
  </si>
  <si>
    <t>SALMÓN AHUMADO GRAVAD</t>
  </si>
  <si>
    <t>SALSA DE ARÁNDANOS NORTHWOODS</t>
  </si>
  <si>
    <t>SALSA DE PIMIENTO PICANTE DE LUISIANA</t>
  </si>
  <si>
    <t>SALSA DE SOJA BAJA EN SODIO</t>
  </si>
  <si>
    <t>MAITE MUÑOZ LOPEZ (TU PAPÁ TE AMA)</t>
  </si>
  <si>
    <t>SANDWICH DE VEGETALES</t>
  </si>
  <si>
    <t>SIROPE DE ARCE</t>
  </si>
  <si>
    <t>SIROPE DE REGALIZ</t>
  </si>
  <si>
    <t>TALLARINES DE SINGAPUR</t>
  </si>
  <si>
    <t>TARTA DE AZÚCAR</t>
  </si>
  <si>
    <t>TÉ DHARAMSALA</t>
  </si>
  <si>
    <t>VINO CÔTE DE BLAYE</t>
  </si>
  <si>
    <t>VALOR</t>
  </si>
  <si>
    <t>RECARGO</t>
  </si>
  <si>
    <t>VENDEDOR</t>
  </si>
  <si>
    <t>LOCAL</t>
  </si>
  <si>
    <t>VENTA ROPA</t>
  </si>
  <si>
    <t>VENTA ZAPATOS</t>
  </si>
  <si>
    <t>TOTAL VENTAS</t>
  </si>
  <si>
    <t>SUELDO BASE</t>
  </si>
  <si>
    <t>COMISION</t>
  </si>
  <si>
    <t>Fabiola Espinoza</t>
  </si>
  <si>
    <t>Oscar Toledo</t>
  </si>
  <si>
    <t>José Inostroza</t>
  </si>
  <si>
    <t>Carlos Pinto</t>
  </si>
  <si>
    <t>Rosa Castro</t>
  </si>
  <si>
    <t>Rene Corbalan</t>
  </si>
  <si>
    <t>Andrea Calderón</t>
  </si>
  <si>
    <t>Eduardo Bravo</t>
  </si>
  <si>
    <t>Andrés García</t>
  </si>
  <si>
    <t>Pedro Contreras</t>
  </si>
  <si>
    <t>Ismael Urrutia</t>
  </si>
  <si>
    <t>Cristina Pardo</t>
  </si>
  <si>
    <t>Sebastián Lobos</t>
  </si>
  <si>
    <t>Roberto Tapia</t>
  </si>
  <si>
    <t>Lucia Arias</t>
  </si>
  <si>
    <t xml:space="preserve">Valor paseo fin de año </t>
  </si>
  <si>
    <t>N° Acompañantes</t>
  </si>
  <si>
    <t>Valor paseo</t>
  </si>
  <si>
    <t>Mora, Enrique</t>
  </si>
  <si>
    <t>Olivarí, Teresa</t>
  </si>
  <si>
    <t>Pérez, Fernando</t>
  </si>
  <si>
    <t>Pizarro, Marcos</t>
  </si>
  <si>
    <t>Rojas, Jorge</t>
  </si>
  <si>
    <t>Soto, Nicolás</t>
  </si>
  <si>
    <t>Tapia, Camina</t>
  </si>
  <si>
    <t>Vargas, Sofía</t>
  </si>
  <si>
    <t>Zapata, Juan</t>
  </si>
  <si>
    <t>Horas semanales dedicadas al estudio</t>
  </si>
  <si>
    <t>Lunes</t>
  </si>
  <si>
    <t>Martes</t>
  </si>
  <si>
    <t>Miércoles</t>
  </si>
  <si>
    <t xml:space="preserve">Jueves </t>
  </si>
  <si>
    <t>Viernes</t>
  </si>
  <si>
    <t>Sábado</t>
  </si>
  <si>
    <t>Domingo</t>
  </si>
  <si>
    <t>Total Semanal</t>
  </si>
  <si>
    <t>Debe mejorar el estudio</t>
  </si>
  <si>
    <t>Aceptable</t>
  </si>
  <si>
    <t>DESCUENTO</t>
  </si>
  <si>
    <t>VANESSA MUÑOZ LOPEZ (VANEPELU), te quiero mucho.</t>
  </si>
  <si>
    <t>C</t>
  </si>
  <si>
    <t>VANESSA MUÑOZ LOPEZ (VANEPELU)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</si>
</sst>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P_t_s_-;\-* #,##0.00\ _P_t_s_-;_-* &quot;-&quot;??\ _P_t_s_-;_-@_-"/>
    <numFmt numFmtId="165" formatCode="0.0"/>
    <numFmt numFmtId="166" formatCode="&quot;$&quot;\ #,##0"/>
    <numFmt numFmtId="167" formatCode="_-* #,##0.00\ [$€]_-;\-* #,##0.00\ [$€]_-;_-* &quot;-&quot;??\ [$€]_-;_-@_-"/>
    <numFmt numFmtId="168" formatCode="_-[$$-340A]\ * #,##0_-;\-[$$-340A]\ * #,##0_-;_-[$$-340A]\ * &quot;-&quot;_-;_-@_-"/>
    <numFmt numFmtId="169" formatCode="_-* #,##0\ _P_t_s_-;\-* #,##0\ _P_t_s_-;_-* &quot;-&quot;??\ _P_t_s_-;_-@_-"/>
  </numFmts>
  <fonts count="41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24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4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4" borderId="0" applyNumberFormat="0" applyBorder="0" applyAlignment="0" applyProtection="0"/>
    <xf numFmtId="0" fontId="17" fillId="16" borderId="1" applyNumberFormat="0" applyAlignment="0" applyProtection="0"/>
    <xf numFmtId="0" fontId="18" fillId="17" borderId="2" applyNumberFormat="0" applyAlignment="0" applyProtection="0"/>
    <xf numFmtId="0" fontId="19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1" fillId="7" borderId="1" applyNumberFormat="0" applyAlignment="0" applyProtection="0"/>
    <xf numFmtId="167" fontId="2" fillId="0" borderId="0" applyFont="0" applyFill="0" applyBorder="0" applyAlignment="0" applyProtection="0"/>
    <xf numFmtId="0" fontId="22" fillId="3" borderId="0" applyNumberFormat="0" applyBorder="0" applyAlignment="0" applyProtection="0"/>
    <xf numFmtId="164" fontId="2" fillId="0" borderId="0" applyFont="0" applyFill="0" applyBorder="0" applyAlignment="0" applyProtection="0"/>
    <xf numFmtId="0" fontId="23" fillId="22" borderId="0" applyNumberFormat="0" applyBorder="0" applyAlignment="0" applyProtection="0"/>
    <xf numFmtId="0" fontId="8" fillId="0" borderId="0"/>
    <xf numFmtId="0" fontId="2" fillId="23" borderId="4" applyNumberFormat="0" applyFont="0" applyAlignment="0" applyProtection="0"/>
    <xf numFmtId="0" fontId="24" fillId="16" borderId="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20" fillId="0" borderId="7" applyNumberFormat="0" applyFill="0" applyAlignment="0" applyProtection="0"/>
    <xf numFmtId="0" fontId="29" fillId="0" borderId="8" applyNumberFormat="0" applyFill="0" applyAlignment="0" applyProtection="0"/>
  </cellStyleXfs>
  <cellXfs count="151">
    <xf numFmtId="0" fontId="0" fillId="0" borderId="0" xfId="0"/>
    <xf numFmtId="0" fontId="1" fillId="0" borderId="0" xfId="1"/>
    <xf numFmtId="0" fontId="32" fillId="0" borderId="0" xfId="1" applyFont="1" applyProtection="1">
      <protection hidden="1"/>
    </xf>
    <xf numFmtId="0" fontId="33" fillId="0" borderId="13" xfId="1" applyFont="1" applyBorder="1" applyProtection="1">
      <protection hidden="1"/>
    </xf>
    <xf numFmtId="0" fontId="32" fillId="0" borderId="10" xfId="1" applyFont="1" applyBorder="1" applyProtection="1">
      <protection locked="0"/>
    </xf>
    <xf numFmtId="0" fontId="33" fillId="0" borderId="0" xfId="1" applyFont="1" applyProtection="1">
      <protection hidden="1"/>
    </xf>
    <xf numFmtId="165" fontId="32" fillId="0" borderId="0" xfId="1" applyNumberFormat="1" applyFont="1" applyAlignment="1" applyProtection="1">
      <alignment horizontal="center"/>
      <protection hidden="1"/>
    </xf>
    <xf numFmtId="0" fontId="34" fillId="0" borderId="0" xfId="1" applyFont="1" applyProtection="1">
      <protection hidden="1"/>
    </xf>
    <xf numFmtId="0" fontId="33" fillId="0" borderId="12" xfId="1" applyFont="1" applyBorder="1" applyAlignment="1" applyProtection="1">
      <alignment horizontal="center"/>
      <protection hidden="1"/>
    </xf>
    <xf numFmtId="0" fontId="33" fillId="0" borderId="13" xfId="1" applyFont="1" applyBorder="1" applyAlignment="1" applyProtection="1">
      <alignment horizontal="center"/>
      <protection hidden="1"/>
    </xf>
    <xf numFmtId="0" fontId="33" fillId="0" borderId="15" xfId="1" applyFont="1" applyBorder="1" applyAlignment="1" applyProtection="1">
      <alignment horizontal="center"/>
      <protection locked="0"/>
    </xf>
    <xf numFmtId="0" fontId="33" fillId="0" borderId="33" xfId="1" applyFont="1" applyBorder="1" applyAlignment="1" applyProtection="1">
      <alignment horizontal="center"/>
      <protection locked="0"/>
    </xf>
    <xf numFmtId="0" fontId="33" fillId="0" borderId="16" xfId="1" applyFont="1" applyBorder="1" applyAlignment="1" applyProtection="1">
      <alignment horizontal="center"/>
      <protection locked="0"/>
    </xf>
    <xf numFmtId="0" fontId="33" fillId="0" borderId="34" xfId="1" applyFont="1" applyBorder="1" applyAlignment="1" applyProtection="1">
      <alignment horizontal="center"/>
      <protection locked="0"/>
    </xf>
    <xf numFmtId="0" fontId="33" fillId="0" borderId="35" xfId="1" applyFont="1" applyBorder="1" applyAlignment="1" applyProtection="1">
      <alignment horizontal="center"/>
      <protection locked="0"/>
    </xf>
    <xf numFmtId="0" fontId="33" fillId="0" borderId="36" xfId="1" applyFont="1" applyBorder="1" applyAlignment="1" applyProtection="1">
      <alignment horizontal="center"/>
      <protection locked="0"/>
    </xf>
    <xf numFmtId="169" fontId="33" fillId="0" borderId="15" xfId="34" applyNumberFormat="1" applyFont="1" applyBorder="1" applyAlignment="1" applyProtection="1">
      <alignment horizontal="center"/>
      <protection locked="0"/>
    </xf>
    <xf numFmtId="169" fontId="33" fillId="0" borderId="33" xfId="34" applyNumberFormat="1" applyFont="1" applyBorder="1" applyAlignment="1" applyProtection="1">
      <alignment horizontal="center"/>
      <protection locked="0"/>
    </xf>
    <xf numFmtId="9" fontId="33" fillId="0" borderId="35" xfId="1" applyNumberFormat="1" applyFont="1" applyBorder="1" applyAlignment="1" applyProtection="1">
      <alignment horizontal="center"/>
      <protection locked="0"/>
    </xf>
    <xf numFmtId="9" fontId="33" fillId="0" borderId="36" xfId="1" applyNumberFormat="1" applyFont="1" applyBorder="1" applyAlignment="1" applyProtection="1">
      <alignment horizontal="center"/>
      <protection locked="0"/>
    </xf>
    <xf numFmtId="0" fontId="35" fillId="0" borderId="0" xfId="1" applyFont="1" applyProtection="1">
      <protection hidden="1"/>
    </xf>
    <xf numFmtId="0" fontId="33" fillId="0" borderId="14" xfId="1" applyFont="1" applyBorder="1" applyAlignment="1" applyProtection="1">
      <alignment horizontal="center"/>
      <protection hidden="1"/>
    </xf>
    <xf numFmtId="169" fontId="35" fillId="0" borderId="0" xfId="1" applyNumberFormat="1" applyFont="1" applyProtection="1">
      <protection hidden="1"/>
    </xf>
    <xf numFmtId="165" fontId="37" fillId="0" borderId="9" xfId="1" applyNumberFormat="1" applyFont="1" applyBorder="1" applyAlignment="1" applyProtection="1">
      <alignment horizontal="center"/>
      <protection hidden="1"/>
    </xf>
    <xf numFmtId="165" fontId="37" fillId="0" borderId="11" xfId="1" applyNumberFormat="1" applyFont="1" applyBorder="1" applyAlignment="1" applyProtection="1">
      <alignment horizontal="center"/>
      <protection hidden="1"/>
    </xf>
    <xf numFmtId="0" fontId="12" fillId="0" borderId="0" xfId="1" applyFont="1" applyProtection="1">
      <protection hidden="1"/>
    </xf>
    <xf numFmtId="0" fontId="11" fillId="0" borderId="0" xfId="1" applyFont="1" applyProtection="1">
      <protection hidden="1"/>
    </xf>
    <xf numFmtId="165" fontId="12" fillId="0" borderId="0" xfId="1" applyNumberFormat="1" applyFont="1" applyAlignment="1" applyProtection="1">
      <alignment horizontal="center"/>
      <protection hidden="1"/>
    </xf>
    <xf numFmtId="0" fontId="2" fillId="0" borderId="0" xfId="1" applyFont="1" applyProtection="1">
      <protection hidden="1"/>
    </xf>
    <xf numFmtId="165" fontId="2" fillId="0" borderId="9" xfId="1" applyNumberFormat="1" applyFont="1" applyBorder="1" applyAlignment="1" applyProtection="1">
      <alignment horizontal="center"/>
      <protection locked="0"/>
    </xf>
    <xf numFmtId="165" fontId="2" fillId="0" borderId="11" xfId="1" applyNumberFormat="1" applyFont="1" applyBorder="1" applyAlignment="1" applyProtection="1">
      <alignment horizontal="center"/>
      <protection locked="0"/>
    </xf>
    <xf numFmtId="0" fontId="13" fillId="0" borderId="0" xfId="1" applyFont="1" applyProtection="1">
      <protection hidden="1"/>
    </xf>
    <xf numFmtId="0" fontId="1" fillId="0" borderId="24" xfId="1" applyBorder="1" applyProtection="1">
      <protection locked="0"/>
    </xf>
    <xf numFmtId="0" fontId="1" fillId="0" borderId="10" xfId="1" applyBorder="1" applyProtection="1">
      <protection locked="0"/>
    </xf>
    <xf numFmtId="0" fontId="3" fillId="0" borderId="15" xfId="1" applyFont="1" applyBorder="1" applyProtection="1">
      <protection locked="0"/>
    </xf>
    <xf numFmtId="0" fontId="3" fillId="0" borderId="16" xfId="1" applyFont="1" applyBorder="1" applyProtection="1">
      <protection locked="0"/>
    </xf>
    <xf numFmtId="165" fontId="2" fillId="0" borderId="9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center"/>
      <protection hidden="1"/>
    </xf>
    <xf numFmtId="0" fontId="3" fillId="0" borderId="29" xfId="1" applyFont="1" applyBorder="1" applyProtection="1">
      <protection locked="0"/>
    </xf>
    <xf numFmtId="165" fontId="2" fillId="0" borderId="37" xfId="1" applyNumberFormat="1" applyFont="1" applyBorder="1" applyAlignment="1" applyProtection="1">
      <alignment horizontal="center"/>
      <protection locked="0"/>
    </xf>
    <xf numFmtId="165" fontId="2" fillId="0" borderId="37" xfId="1" applyNumberFormat="1" applyFont="1" applyBorder="1" applyAlignment="1" applyProtection="1">
      <alignment horizontal="center"/>
      <protection hidden="1"/>
    </xf>
    <xf numFmtId="0" fontId="3" fillId="0" borderId="21" xfId="1" applyFont="1" applyBorder="1" applyProtection="1">
      <protection hidden="1"/>
    </xf>
    <xf numFmtId="0" fontId="3" fillId="0" borderId="22" xfId="1" applyFont="1" applyBorder="1" applyProtection="1">
      <protection hidden="1"/>
    </xf>
    <xf numFmtId="0" fontId="3" fillId="0" borderId="23" xfId="1" applyFont="1" applyBorder="1" applyProtection="1">
      <protection hidden="1"/>
    </xf>
    <xf numFmtId="0" fontId="6" fillId="0" borderId="0" xfId="1" applyFont="1" applyProtection="1">
      <protection hidden="1"/>
    </xf>
    <xf numFmtId="0" fontId="6" fillId="0" borderId="0" xfId="1" applyFont="1" applyAlignment="1" applyProtection="1">
      <alignment horizontal="center"/>
      <protection hidden="1"/>
    </xf>
    <xf numFmtId="0" fontId="6" fillId="0" borderId="9" xfId="1" applyFont="1" applyBorder="1" applyAlignment="1" applyProtection="1">
      <alignment horizontal="center"/>
      <protection locked="0"/>
    </xf>
    <xf numFmtId="0" fontId="6" fillId="0" borderId="11" xfId="1" applyFont="1" applyBorder="1" applyAlignment="1" applyProtection="1">
      <alignment horizontal="center"/>
      <protection locked="0"/>
    </xf>
    <xf numFmtId="0" fontId="7" fillId="0" borderId="18" xfId="1" applyFont="1" applyBorder="1" applyAlignment="1" applyProtection="1">
      <alignment horizontal="center"/>
      <protection hidden="1"/>
    </xf>
    <xf numFmtId="0" fontId="7" fillId="0" borderId="19" xfId="1" applyFont="1" applyBorder="1" applyAlignment="1" applyProtection="1">
      <alignment horizontal="center"/>
      <protection hidden="1"/>
    </xf>
    <xf numFmtId="0" fontId="7" fillId="0" borderId="20" xfId="1" applyFont="1" applyBorder="1" applyAlignment="1" applyProtection="1">
      <alignment horizontal="center"/>
      <protection hidden="1"/>
    </xf>
    <xf numFmtId="0" fontId="6" fillId="0" borderId="13" xfId="1" applyFont="1" applyBorder="1" applyProtection="1"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9" xfId="1" applyFont="1" applyBorder="1" applyProtection="1">
      <protection locked="0"/>
    </xf>
    <xf numFmtId="0" fontId="6" fillId="0" borderId="10" xfId="1" applyFont="1" applyBorder="1" applyAlignment="1" applyProtection="1">
      <alignment horizontal="center"/>
      <protection locked="0"/>
    </xf>
    <xf numFmtId="0" fontId="6" fillId="0" borderId="11" xfId="1" applyFont="1" applyBorder="1" applyProtection="1"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5" xfId="1" applyFont="1" applyBorder="1" applyProtection="1">
      <protection locked="0"/>
    </xf>
    <xf numFmtId="0" fontId="6" fillId="0" borderId="16" xfId="1" applyFont="1" applyBorder="1" applyProtection="1">
      <protection locked="0"/>
    </xf>
    <xf numFmtId="0" fontId="6" fillId="0" borderId="12" xfId="1" applyFont="1" applyBorder="1" applyProtection="1">
      <protection locked="0"/>
    </xf>
    <xf numFmtId="0" fontId="6" fillId="0" borderId="13" xfId="1" applyFont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hidden="1"/>
    </xf>
    <xf numFmtId="0" fontId="9" fillId="0" borderId="21" xfId="36" applyFont="1" applyBorder="1" applyAlignment="1" applyProtection="1">
      <alignment horizontal="center"/>
      <protection hidden="1"/>
    </xf>
    <xf numFmtId="0" fontId="9" fillId="0" borderId="22" xfId="36" applyFont="1" applyBorder="1" applyAlignment="1" applyProtection="1">
      <alignment horizontal="center"/>
      <protection hidden="1"/>
    </xf>
    <xf numFmtId="169" fontId="9" fillId="0" borderId="22" xfId="34" applyNumberFormat="1" applyFont="1" applyFill="1" applyBorder="1" applyAlignment="1" applyProtection="1">
      <alignment horizontal="right"/>
      <protection hidden="1"/>
    </xf>
    <xf numFmtId="0" fontId="3" fillId="0" borderId="23" xfId="1" applyFont="1" applyBorder="1" applyAlignment="1" applyProtection="1">
      <alignment horizontal="center"/>
      <protection hidden="1"/>
    </xf>
    <xf numFmtId="0" fontId="11" fillId="0" borderId="0" xfId="1" applyFont="1" applyAlignment="1" applyProtection="1">
      <alignment horizontal="center"/>
      <protection hidden="1"/>
    </xf>
    <xf numFmtId="0" fontId="10" fillId="0" borderId="15" xfId="36" applyFont="1" applyBorder="1" applyAlignment="1" applyProtection="1">
      <alignment horizontal="center"/>
      <protection hidden="1"/>
    </xf>
    <xf numFmtId="0" fontId="10" fillId="0" borderId="9" xfId="36" applyFont="1" applyBorder="1" applyAlignment="1" applyProtection="1">
      <alignment horizontal="left"/>
      <protection hidden="1"/>
    </xf>
    <xf numFmtId="0" fontId="10" fillId="0" borderId="16" xfId="36" applyFont="1" applyBorder="1" applyAlignment="1" applyProtection="1">
      <alignment horizontal="center"/>
      <protection hidden="1"/>
    </xf>
    <xf numFmtId="0" fontId="10" fillId="0" borderId="11" xfId="36" applyFont="1" applyBorder="1" applyAlignment="1" applyProtection="1">
      <alignment horizontal="left"/>
      <protection hidden="1"/>
    </xf>
    <xf numFmtId="169" fontId="1" fillId="0" borderId="9" xfId="34" applyNumberFormat="1" applyFont="1" applyBorder="1" applyAlignment="1" applyProtection="1">
      <alignment horizontal="right"/>
      <protection locked="0"/>
    </xf>
    <xf numFmtId="169" fontId="1" fillId="0" borderId="11" xfId="34" applyNumberFormat="1" applyFont="1" applyBorder="1" applyAlignment="1" applyProtection="1">
      <alignment horizontal="right"/>
      <protection locked="0"/>
    </xf>
    <xf numFmtId="0" fontId="12" fillId="0" borderId="0" xfId="1" applyFont="1" applyAlignment="1" applyProtection="1">
      <alignment horizontal="center"/>
      <protection hidden="1"/>
    </xf>
    <xf numFmtId="169" fontId="12" fillId="0" borderId="0" xfId="34" applyNumberFormat="1" applyFont="1" applyAlignment="1" applyProtection="1">
      <alignment horizontal="right"/>
      <protection hidden="1"/>
    </xf>
    <xf numFmtId="0" fontId="10" fillId="0" borderId="12" xfId="36" applyFont="1" applyBorder="1" applyAlignment="1" applyProtection="1">
      <alignment horizontal="center"/>
      <protection hidden="1"/>
    </xf>
    <xf numFmtId="0" fontId="10" fillId="0" borderId="13" xfId="36" applyFont="1" applyBorder="1" applyAlignment="1" applyProtection="1">
      <alignment horizontal="left"/>
      <protection hidden="1"/>
    </xf>
    <xf numFmtId="169" fontId="1" fillId="0" borderId="13" xfId="34" applyNumberFormat="1" applyFont="1" applyBorder="1" applyAlignment="1" applyProtection="1">
      <alignment horizontal="right"/>
      <protection locked="0"/>
    </xf>
    <xf numFmtId="0" fontId="1" fillId="0" borderId="14" xfId="1" applyBorder="1" applyProtection="1">
      <protection locked="0"/>
    </xf>
    <xf numFmtId="0" fontId="7" fillId="0" borderId="12" xfId="1" applyFont="1" applyBorder="1" applyAlignment="1" applyProtection="1">
      <alignment horizontal="center"/>
      <protection hidden="1"/>
    </xf>
    <xf numFmtId="0" fontId="7" fillId="0" borderId="13" xfId="1" applyFont="1" applyBorder="1" applyAlignment="1" applyProtection="1">
      <alignment horizontal="center"/>
      <protection hidden="1"/>
    </xf>
    <xf numFmtId="0" fontId="7" fillId="0" borderId="14" xfId="1" applyFont="1" applyBorder="1" applyAlignment="1" applyProtection="1">
      <alignment horizontal="center"/>
      <protection hidden="1"/>
    </xf>
    <xf numFmtId="0" fontId="6" fillId="0" borderId="15" xfId="1" applyFont="1" applyBorder="1" applyProtection="1">
      <protection hidden="1"/>
    </xf>
    <xf numFmtId="0" fontId="6" fillId="0" borderId="9" xfId="1" applyFont="1" applyBorder="1" applyAlignment="1" applyProtection="1">
      <alignment horizontal="center"/>
      <protection hidden="1"/>
    </xf>
    <xf numFmtId="0" fontId="6" fillId="0" borderId="9" xfId="1" applyFont="1" applyBorder="1" applyProtection="1">
      <protection hidden="1"/>
    </xf>
    <xf numFmtId="0" fontId="6" fillId="0" borderId="16" xfId="1" applyFont="1" applyBorder="1" applyProtection="1">
      <protection hidden="1"/>
    </xf>
    <xf numFmtId="0" fontId="6" fillId="0" borderId="11" xfId="1" applyFont="1" applyBorder="1" applyAlignment="1" applyProtection="1">
      <alignment horizontal="center"/>
      <protection hidden="1"/>
    </xf>
    <xf numFmtId="0" fontId="6" fillId="0" borderId="11" xfId="1" applyFont="1" applyBorder="1" applyProtection="1">
      <protection hidden="1"/>
    </xf>
    <xf numFmtId="168" fontId="6" fillId="0" borderId="9" xfId="32" applyNumberFormat="1" applyFont="1" applyBorder="1" applyProtection="1">
      <protection locked="0"/>
    </xf>
    <xf numFmtId="168" fontId="6" fillId="0" borderId="11" xfId="32" applyNumberFormat="1" applyFont="1" applyBorder="1" applyProtection="1">
      <protection locked="0"/>
    </xf>
    <xf numFmtId="168" fontId="6" fillId="0" borderId="10" xfId="32" applyNumberFormat="1" applyFont="1" applyBorder="1" applyProtection="1">
      <protection locked="0"/>
    </xf>
    <xf numFmtId="0" fontId="6" fillId="0" borderId="9" xfId="1" applyFont="1" applyBorder="1" applyAlignment="1" applyProtection="1">
      <alignment horizontal="center"/>
      <protection locked="0" hidden="1"/>
    </xf>
    <xf numFmtId="0" fontId="6" fillId="0" borderId="11" xfId="1" applyFont="1" applyBorder="1" applyAlignment="1" applyProtection="1">
      <alignment horizontal="center"/>
      <protection locked="0" hidden="1"/>
    </xf>
    <xf numFmtId="0" fontId="1" fillId="0" borderId="15" xfId="1" applyBorder="1" applyProtection="1">
      <protection hidden="1"/>
    </xf>
    <xf numFmtId="0" fontId="1" fillId="0" borderId="9" xfId="1" applyBorder="1" applyAlignment="1" applyProtection="1">
      <alignment horizontal="center"/>
      <protection hidden="1"/>
    </xf>
    <xf numFmtId="0" fontId="1" fillId="0" borderId="16" xfId="1" applyBorder="1" applyProtection="1">
      <protection hidden="1"/>
    </xf>
    <xf numFmtId="0" fontId="1" fillId="0" borderId="11" xfId="1" applyBorder="1" applyAlignment="1" applyProtection="1">
      <alignment horizontal="center"/>
      <protection hidden="1"/>
    </xf>
    <xf numFmtId="166" fontId="1" fillId="0" borderId="9" xfId="1" applyNumberFormat="1" applyBorder="1" applyProtection="1">
      <protection locked="0"/>
    </xf>
    <xf numFmtId="166" fontId="1" fillId="0" borderId="10" xfId="1" applyNumberFormat="1" applyBorder="1" applyProtection="1">
      <protection locked="0"/>
    </xf>
    <xf numFmtId="166" fontId="1" fillId="0" borderId="11" xfId="1" applyNumberFormat="1" applyBorder="1" applyProtection="1">
      <protection locked="0"/>
    </xf>
    <xf numFmtId="166" fontId="1" fillId="0" borderId="9" xfId="1" applyNumberFormat="1" applyBorder="1"/>
    <xf numFmtId="0" fontId="3" fillId="0" borderId="12" xfId="1" applyFont="1" applyBorder="1" applyAlignment="1" applyProtection="1">
      <alignment wrapText="1"/>
      <protection hidden="1"/>
    </xf>
    <xf numFmtId="0" fontId="3" fillId="0" borderId="13" xfId="1" applyFont="1" applyBorder="1" applyAlignment="1" applyProtection="1">
      <alignment horizontal="center" wrapText="1"/>
      <protection hidden="1"/>
    </xf>
    <xf numFmtId="0" fontId="3" fillId="0" borderId="13" xfId="1" applyFont="1" applyBorder="1" applyAlignment="1" applyProtection="1">
      <alignment wrapText="1"/>
      <protection hidden="1"/>
    </xf>
    <xf numFmtId="0" fontId="3" fillId="0" borderId="14" xfId="1" applyFont="1" applyBorder="1" applyAlignment="1" applyProtection="1">
      <alignment wrapText="1"/>
      <protection hidden="1"/>
    </xf>
    <xf numFmtId="0" fontId="5" fillId="0" borderId="0" xfId="1" applyFont="1" applyProtection="1">
      <protection hidden="1"/>
    </xf>
    <xf numFmtId="0" fontId="4" fillId="0" borderId="12" xfId="1" applyFont="1" applyBorder="1" applyProtection="1">
      <protection hidden="1"/>
    </xf>
    <xf numFmtId="0" fontId="4" fillId="0" borderId="13" xfId="1" applyFont="1" applyBorder="1" applyProtection="1">
      <protection hidden="1"/>
    </xf>
    <xf numFmtId="0" fontId="4" fillId="0" borderId="14" xfId="1" applyFont="1" applyBorder="1" applyProtection="1">
      <protection hidden="1"/>
    </xf>
    <xf numFmtId="0" fontId="5" fillId="0" borderId="15" xfId="1" applyFont="1" applyBorder="1" applyProtection="1">
      <protection hidden="1"/>
    </xf>
    <xf numFmtId="0" fontId="5" fillId="0" borderId="16" xfId="1" applyFont="1" applyBorder="1" applyProtection="1">
      <protection hidden="1"/>
    </xf>
    <xf numFmtId="0" fontId="3" fillId="0" borderId="0" xfId="1" applyFont="1" applyProtection="1">
      <protection hidden="1"/>
    </xf>
    <xf numFmtId="0" fontId="4" fillId="0" borderId="9" xfId="1" applyFont="1" applyBorder="1" applyAlignment="1" applyProtection="1">
      <alignment horizontal="center"/>
      <protection locked="0"/>
    </xf>
    <xf numFmtId="0" fontId="4" fillId="0" borderId="11" xfId="1" applyFont="1" applyBorder="1" applyAlignment="1" applyProtection="1">
      <alignment horizontal="center"/>
      <protection locked="0"/>
    </xf>
    <xf numFmtId="0" fontId="3" fillId="0" borderId="25" xfId="1" applyFont="1" applyBorder="1" applyAlignment="1" applyProtection="1">
      <alignment horizontal="center" vertical="center" wrapText="1"/>
      <protection hidden="1"/>
    </xf>
    <xf numFmtId="0" fontId="3" fillId="0" borderId="19" xfId="1" applyFont="1" applyBorder="1" applyAlignment="1" applyProtection="1">
      <alignment textRotation="90"/>
      <protection hidden="1"/>
    </xf>
    <xf numFmtId="0" fontId="3" fillId="0" borderId="20" xfId="1" applyFont="1" applyBorder="1" applyAlignment="1" applyProtection="1">
      <alignment horizontal="center" vertical="center" wrapText="1"/>
      <protection hidden="1"/>
    </xf>
    <xf numFmtId="0" fontId="1" fillId="0" borderId="0" xfId="1" applyProtection="1">
      <protection hidden="1"/>
    </xf>
    <xf numFmtId="1" fontId="1" fillId="0" borderId="9" xfId="1" applyNumberFormat="1" applyBorder="1" applyAlignment="1" applyProtection="1">
      <alignment horizontal="center"/>
      <protection hidden="1"/>
    </xf>
    <xf numFmtId="1" fontId="1" fillId="0" borderId="11" xfId="1" applyNumberFormat="1" applyBorder="1" applyAlignment="1" applyProtection="1">
      <alignment horizontal="center"/>
      <protection hidden="1"/>
    </xf>
    <xf numFmtId="0" fontId="1" fillId="0" borderId="9" xfId="1" applyBorder="1" applyProtection="1">
      <protection locked="0"/>
    </xf>
    <xf numFmtId="0" fontId="1" fillId="0" borderId="11" xfId="1" applyBorder="1" applyProtection="1">
      <protection locked="0"/>
    </xf>
    <xf numFmtId="1" fontId="6" fillId="0" borderId="10" xfId="32" applyNumberFormat="1" applyFont="1" applyBorder="1" applyProtection="1">
      <protection locked="0"/>
    </xf>
    <xf numFmtId="0" fontId="36" fillId="0" borderId="0" xfId="1" applyFont="1" applyProtection="1">
      <protection hidden="1"/>
    </xf>
    <xf numFmtId="0" fontId="6" fillId="0" borderId="29" xfId="1" applyFont="1" applyBorder="1" applyProtection="1">
      <protection locked="0"/>
    </xf>
    <xf numFmtId="0" fontId="6" fillId="0" borderId="37" xfId="1" applyFont="1" applyBorder="1" applyAlignment="1" applyProtection="1">
      <alignment horizontal="center"/>
      <protection locked="0"/>
    </xf>
    <xf numFmtId="0" fontId="6" fillId="0" borderId="37" xfId="1" applyFont="1" applyBorder="1" applyProtection="1">
      <protection locked="0"/>
    </xf>
    <xf numFmtId="168" fontId="6" fillId="0" borderId="37" xfId="32" applyNumberFormat="1" applyFont="1" applyBorder="1" applyProtection="1">
      <protection locked="0"/>
    </xf>
    <xf numFmtId="0" fontId="6" fillId="0" borderId="24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hidden="1"/>
    </xf>
    <xf numFmtId="0" fontId="7" fillId="0" borderId="22" xfId="1" applyFont="1" applyBorder="1" applyAlignment="1" applyProtection="1">
      <alignment horizontal="center"/>
      <protection hidden="1"/>
    </xf>
    <xf numFmtId="0" fontId="7" fillId="0" borderId="23" xfId="1" applyFont="1" applyBorder="1" applyAlignment="1" applyProtection="1">
      <alignment horizontal="center"/>
      <protection hidden="1"/>
    </xf>
    <xf numFmtId="0" fontId="7" fillId="0" borderId="26" xfId="1" applyFont="1" applyBorder="1" applyAlignment="1" applyProtection="1">
      <alignment horizontal="center" vertical="center"/>
      <protection hidden="1"/>
    </xf>
    <xf numFmtId="0" fontId="7" fillId="0" borderId="27" xfId="1" applyFont="1" applyBorder="1" applyAlignment="1" applyProtection="1">
      <alignment horizontal="center" vertical="center"/>
      <protection hidden="1"/>
    </xf>
    <xf numFmtId="0" fontId="7" fillId="0" borderId="28" xfId="1" applyFont="1" applyBorder="1" applyAlignment="1" applyProtection="1">
      <alignment horizontal="center" vertical="center"/>
      <protection hidden="1"/>
    </xf>
    <xf numFmtId="0" fontId="7" fillId="0" borderId="30" xfId="1" applyFont="1" applyBorder="1" applyAlignment="1" applyProtection="1">
      <alignment horizontal="center" vertical="center"/>
      <protection hidden="1"/>
    </xf>
    <xf numFmtId="0" fontId="7" fillId="0" borderId="31" xfId="1" applyFont="1" applyBorder="1" applyAlignment="1" applyProtection="1">
      <alignment horizontal="center" vertical="center"/>
      <protection hidden="1"/>
    </xf>
    <xf numFmtId="0" fontId="7" fillId="0" borderId="32" xfId="1" applyFont="1" applyBorder="1" applyAlignment="1" applyProtection="1">
      <alignment horizontal="center" vertical="center"/>
      <protection hidden="1"/>
    </xf>
    <xf numFmtId="0" fontId="7" fillId="0" borderId="38" xfId="1" applyFont="1" applyBorder="1" applyAlignment="1" applyProtection="1">
      <alignment horizontal="center"/>
      <protection hidden="1"/>
    </xf>
    <xf numFmtId="0" fontId="7" fillId="0" borderId="40" xfId="1" applyFont="1" applyBorder="1" applyAlignment="1" applyProtection="1">
      <alignment horizontal="center"/>
      <protection hidden="1"/>
    </xf>
    <xf numFmtId="0" fontId="7" fillId="0" borderId="39" xfId="1" applyFont="1" applyBorder="1" applyAlignment="1" applyProtection="1">
      <alignment horizontal="center"/>
      <protection hidden="1"/>
    </xf>
    <xf numFmtId="0" fontId="4" fillId="0" borderId="38" xfId="1" applyFont="1" applyBorder="1" applyAlignment="1" applyProtection="1">
      <alignment horizontal="center"/>
      <protection hidden="1"/>
    </xf>
    <xf numFmtId="0" fontId="4" fillId="0" borderId="40" xfId="1" applyFont="1" applyBorder="1" applyAlignment="1" applyProtection="1">
      <alignment horizontal="center"/>
      <protection hidden="1"/>
    </xf>
    <xf numFmtId="0" fontId="4" fillId="0" borderId="39" xfId="1" applyFont="1" applyBorder="1" applyAlignment="1" applyProtection="1">
      <alignment horizontal="center"/>
      <protection hidden="1"/>
    </xf>
    <xf numFmtId="0" fontId="3" fillId="0" borderId="38" xfId="1" applyFont="1" applyBorder="1" applyAlignment="1" applyProtection="1">
      <alignment horizontal="center"/>
      <protection hidden="1"/>
    </xf>
    <xf numFmtId="0" fontId="3" fillId="0" borderId="40" xfId="1" applyFont="1" applyBorder="1" applyAlignment="1" applyProtection="1">
      <alignment horizontal="center"/>
      <protection hidden="1"/>
    </xf>
    <xf numFmtId="0" fontId="3" fillId="0" borderId="39" xfId="1" applyFont="1" applyBorder="1" applyAlignment="1" applyProtection="1">
      <alignment horizontal="center"/>
      <protection hidden="1"/>
    </xf>
    <xf numFmtId="0" fontId="38" fillId="0" borderId="10" xfId="1" applyFont="1" applyBorder="1" applyProtection="1">
      <protection locked="0"/>
    </xf>
    <xf numFmtId="0" fontId="39" fillId="0" borderId="0" xfId="1" applyFont="1" applyProtection="1">
      <protection hidden="1"/>
    </xf>
    <xf numFmtId="0" fontId="39" fillId="0" borderId="0" xfId="1" applyFont="1"/>
    <xf numFmtId="0" fontId="40" fillId="0" borderId="0" xfId="0" applyFont="1"/>
  </cellXfs>
  <cellStyles count="45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Encabezado 4 2" xfId="24" xr:uid="{00000000-0005-0000-0000-000016000000}"/>
    <cellStyle name="Énfasis1 2" xfId="25" xr:uid="{00000000-0005-0000-0000-000017000000}"/>
    <cellStyle name="Énfasis2 2" xfId="26" xr:uid="{00000000-0005-0000-0000-000018000000}"/>
    <cellStyle name="Énfasis3 2" xfId="27" xr:uid="{00000000-0005-0000-0000-000019000000}"/>
    <cellStyle name="Énfasis4 2" xfId="28" xr:uid="{00000000-0005-0000-0000-00001A000000}"/>
    <cellStyle name="Énfasis5 2" xfId="29" xr:uid="{00000000-0005-0000-0000-00001B000000}"/>
    <cellStyle name="Énfasis6 2" xfId="30" xr:uid="{00000000-0005-0000-0000-00001C000000}"/>
    <cellStyle name="Entrada 2" xfId="31" xr:uid="{00000000-0005-0000-0000-00001D000000}"/>
    <cellStyle name="Euro" xfId="32" xr:uid="{00000000-0005-0000-0000-00001E000000}"/>
    <cellStyle name="Incorrecto 2" xfId="33" xr:uid="{00000000-0005-0000-0000-00001F000000}"/>
    <cellStyle name="Millares 2" xfId="34" xr:uid="{00000000-0005-0000-0000-000020000000}"/>
    <cellStyle name="Neutral 2" xfId="35" xr:uid="{00000000-0005-0000-0000-000021000000}"/>
    <cellStyle name="Normal" xfId="0" builtinId="0"/>
    <cellStyle name="Normal 2" xfId="1" xr:uid="{00000000-0005-0000-0000-000023000000}"/>
    <cellStyle name="Normal_Hoja1" xfId="36" xr:uid="{00000000-0005-0000-0000-000024000000}"/>
    <cellStyle name="Notas 2" xfId="37" xr:uid="{00000000-0005-0000-0000-000025000000}"/>
    <cellStyle name="Salida 2" xfId="38" xr:uid="{00000000-0005-0000-0000-000026000000}"/>
    <cellStyle name="Texto de advertencia 2" xfId="39" xr:uid="{00000000-0005-0000-0000-000027000000}"/>
    <cellStyle name="Texto explicativo 2" xfId="40" xr:uid="{00000000-0005-0000-0000-000028000000}"/>
    <cellStyle name="Título 2 2" xfId="42" xr:uid="{00000000-0005-0000-0000-000029000000}"/>
    <cellStyle name="Título 3 2" xfId="43" xr:uid="{00000000-0005-0000-0000-00002A000000}"/>
    <cellStyle name="Título 4" xfId="41" xr:uid="{00000000-0005-0000-0000-00002B000000}"/>
    <cellStyle name="Total 2" xfId="44" xr:uid="{00000000-0005-0000-0000-00002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</xdr:row>
      <xdr:rowOff>0</xdr:rowOff>
    </xdr:from>
    <xdr:to>
      <xdr:col>9</xdr:col>
      <xdr:colOff>742950</xdr:colOff>
      <xdr:row>14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200025"/>
          <a:ext cx="2238375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15</xdr:row>
      <xdr:rowOff>0</xdr:rowOff>
    </xdr:from>
    <xdr:to>
      <xdr:col>13</xdr:col>
      <xdr:colOff>228600</xdr:colOff>
      <xdr:row>21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76550"/>
          <a:ext cx="10563225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104775</xdr:rowOff>
    </xdr:from>
    <xdr:to>
      <xdr:col>12</xdr:col>
      <xdr:colOff>533400</xdr:colOff>
      <xdr:row>12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04775"/>
          <a:ext cx="4638675" cy="230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3</xdr:row>
      <xdr:rowOff>47625</xdr:rowOff>
    </xdr:from>
    <xdr:to>
      <xdr:col>12</xdr:col>
      <xdr:colOff>638175</xdr:colOff>
      <xdr:row>14</xdr:row>
      <xdr:rowOff>140970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628650"/>
          <a:ext cx="356235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1</xdr:row>
      <xdr:rowOff>28575</xdr:rowOff>
    </xdr:from>
    <xdr:to>
      <xdr:col>9</xdr:col>
      <xdr:colOff>428625</xdr:colOff>
      <xdr:row>10</xdr:row>
      <xdr:rowOff>179070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28600"/>
          <a:ext cx="289560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367665</xdr:colOff>
      <xdr:row>3</xdr:row>
      <xdr:rowOff>45720</xdr:rowOff>
    </xdr:from>
    <xdr:to>
      <xdr:col>13</xdr:col>
      <xdr:colOff>175260</xdr:colOff>
      <xdr:row>13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3445" y="617220"/>
          <a:ext cx="3769995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196215</xdr:colOff>
      <xdr:row>2</xdr:row>
      <xdr:rowOff>335280</xdr:rowOff>
    </xdr:from>
    <xdr:to>
      <xdr:col>11</xdr:col>
      <xdr:colOff>672465</xdr:colOff>
      <xdr:row>14</xdr:row>
      <xdr:rowOff>20955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708660"/>
          <a:ext cx="2853690" cy="204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325755</xdr:colOff>
      <xdr:row>4</xdr:row>
      <xdr:rowOff>28575</xdr:rowOff>
    </xdr:from>
    <xdr:to>
      <xdr:col>8</xdr:col>
      <xdr:colOff>9525</xdr:colOff>
      <xdr:row>15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5035" y="897255"/>
          <a:ext cx="2853690" cy="2526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268605</xdr:colOff>
      <xdr:row>2</xdr:row>
      <xdr:rowOff>32385</xdr:rowOff>
    </xdr:from>
    <xdr:to>
      <xdr:col>12</xdr:col>
      <xdr:colOff>142875</xdr:colOff>
      <xdr:row>12</xdr:row>
      <xdr:rowOff>177165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785" y="413385"/>
          <a:ext cx="3044190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146685</xdr:colOff>
      <xdr:row>5</xdr:row>
      <xdr:rowOff>38100</xdr:rowOff>
    </xdr:from>
    <xdr:to>
      <xdr:col>14</xdr:col>
      <xdr:colOff>546735</xdr:colOff>
      <xdr:row>15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424940"/>
          <a:ext cx="2777490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4</xdr:row>
      <xdr:rowOff>142875</xdr:rowOff>
    </xdr:from>
    <xdr:to>
      <xdr:col>12</xdr:col>
      <xdr:colOff>76200</xdr:colOff>
      <xdr:row>16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923925"/>
          <a:ext cx="358140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4</xdr:row>
      <xdr:rowOff>38100</xdr:rowOff>
    </xdr:from>
    <xdr:to>
      <xdr:col>12</xdr:col>
      <xdr:colOff>219075</xdr:colOff>
      <xdr:row>16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19150"/>
          <a:ext cx="35433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E6" sqref="E6"/>
    </sheetView>
  </sheetViews>
  <sheetFormatPr baseColWidth="10" defaultRowHeight="14.4" x14ac:dyDescent="0.3"/>
  <cols>
    <col min="2" max="2" width="14.44140625" customWidth="1"/>
    <col min="3" max="3" width="15.5546875" customWidth="1"/>
    <col min="5" max="5" width="12.5546875" customWidth="1"/>
    <col min="7" max="7" width="12.6640625" bestFit="1" customWidth="1"/>
  </cols>
  <sheetData>
    <row r="1" spans="1:7" ht="15" thickBot="1" x14ac:dyDescent="0.35">
      <c r="A1" s="20" t="b">
        <v>1</v>
      </c>
      <c r="B1" s="20" t="b">
        <v>0</v>
      </c>
      <c r="C1" s="1"/>
      <c r="D1" s="1"/>
      <c r="E1" s="1"/>
      <c r="F1" s="1"/>
      <c r="G1" s="1"/>
    </row>
    <row r="2" spans="1:7" x14ac:dyDescent="0.3">
      <c r="A2" s="1"/>
      <c r="B2" s="8" t="s">
        <v>0</v>
      </c>
      <c r="C2" s="9" t="s">
        <v>1</v>
      </c>
      <c r="D2" s="3" t="s">
        <v>2</v>
      </c>
      <c r="E2" s="21" t="s">
        <v>3</v>
      </c>
      <c r="F2" s="1"/>
      <c r="G2" s="1"/>
    </row>
    <row r="3" spans="1:7" x14ac:dyDescent="0.3">
      <c r="A3" s="1"/>
      <c r="B3" s="10">
        <v>23</v>
      </c>
      <c r="C3" s="11">
        <v>25</v>
      </c>
      <c r="D3" s="23" t="s">
        <v>4</v>
      </c>
      <c r="E3" s="4" t="str">
        <f>+IF(B3&gt;C3,"VERDADERO","FALSO")</f>
        <v>FALSO</v>
      </c>
      <c r="F3" s="20" t="b">
        <v>0</v>
      </c>
      <c r="G3" s="20" t="b">
        <v>1</v>
      </c>
    </row>
    <row r="4" spans="1:7" x14ac:dyDescent="0.3">
      <c r="A4" s="1"/>
      <c r="B4" s="10">
        <v>45</v>
      </c>
      <c r="C4" s="11">
        <v>100</v>
      </c>
      <c r="D4" s="23" t="s">
        <v>5</v>
      </c>
      <c r="E4" s="4" t="str">
        <f>+IF(B4&lt;C4,"VERDADERO","FALSO")</f>
        <v>VERDADERO</v>
      </c>
      <c r="F4" s="20" t="b">
        <v>1</v>
      </c>
      <c r="G4" s="20" t="b">
        <v>0</v>
      </c>
    </row>
    <row r="5" spans="1:7" x14ac:dyDescent="0.3">
      <c r="A5" s="1"/>
      <c r="B5" s="10">
        <v>34</v>
      </c>
      <c r="C5" s="11">
        <v>30</v>
      </c>
      <c r="D5" s="23" t="s">
        <v>6</v>
      </c>
      <c r="E5" s="4" t="str">
        <f>+IF(B5=C5,"VERDADERO","FALSO")</f>
        <v>FALSO</v>
      </c>
      <c r="F5" s="20" t="b">
        <v>0</v>
      </c>
      <c r="G5" s="20" t="b">
        <v>1</v>
      </c>
    </row>
    <row r="6" spans="1:7" x14ac:dyDescent="0.3">
      <c r="A6" s="1"/>
      <c r="B6" s="16">
        <v>200000</v>
      </c>
      <c r="C6" s="17">
        <v>124000</v>
      </c>
      <c r="D6" s="23" t="s">
        <v>7</v>
      </c>
      <c r="E6" s="4" t="str">
        <f>+IF(B6&gt;=C6,"VERDADERO","FALSO")</f>
        <v>VERDADERO</v>
      </c>
      <c r="F6" s="20" t="b">
        <v>1</v>
      </c>
      <c r="G6" s="20" t="b">
        <v>0</v>
      </c>
    </row>
    <row r="7" spans="1:7" x14ac:dyDescent="0.3">
      <c r="A7" s="1"/>
      <c r="B7" s="10">
        <v>20</v>
      </c>
      <c r="C7" s="11">
        <v>20</v>
      </c>
      <c r="D7" s="23" t="s">
        <v>8</v>
      </c>
      <c r="E7" s="4" t="str">
        <f>+IF(B7&lt;=C7,"VERDADERO","FALSO")</f>
        <v>VERDADERO</v>
      </c>
      <c r="F7" s="20" t="b">
        <v>1</v>
      </c>
      <c r="G7" s="20" t="b">
        <v>0</v>
      </c>
    </row>
    <row r="8" spans="1:7" x14ac:dyDescent="0.3">
      <c r="A8" s="1"/>
      <c r="B8" s="10" t="s">
        <v>9</v>
      </c>
      <c r="C8" s="11" t="s">
        <v>10</v>
      </c>
      <c r="D8" s="23" t="s">
        <v>11</v>
      </c>
      <c r="E8" s="4" t="str">
        <f>+IF(B8&lt;&gt;C8,"VERDADERO","FALSO")</f>
        <v>VERDADERO</v>
      </c>
      <c r="F8" s="20" t="b">
        <v>1</v>
      </c>
      <c r="G8" s="20" t="b">
        <v>0</v>
      </c>
    </row>
    <row r="9" spans="1:7" x14ac:dyDescent="0.3">
      <c r="A9" s="1"/>
      <c r="B9" s="10">
        <v>12</v>
      </c>
      <c r="C9" s="11">
        <v>30</v>
      </c>
      <c r="D9" s="23" t="s">
        <v>4</v>
      </c>
      <c r="E9" s="4" t="str">
        <f t="shared" ref="E4:E14" si="0">+IF(B9&gt;C9,"VERDADERO","FALSO")</f>
        <v>FALSO</v>
      </c>
      <c r="F9" s="20" t="b">
        <v>0</v>
      </c>
      <c r="G9" s="20" t="b">
        <v>1</v>
      </c>
    </row>
    <row r="10" spans="1:7" x14ac:dyDescent="0.3">
      <c r="A10" s="1"/>
      <c r="B10" s="16">
        <v>500000</v>
      </c>
      <c r="C10" s="17">
        <v>200000</v>
      </c>
      <c r="D10" s="23" t="s">
        <v>8</v>
      </c>
      <c r="E10" s="4" t="str">
        <f>+IF(B10&lt;=C10,"VERDADERO","FALSO")</f>
        <v>FALSO</v>
      </c>
      <c r="F10" s="22" t="b">
        <v>0</v>
      </c>
      <c r="G10" s="20" t="b">
        <v>1</v>
      </c>
    </row>
    <row r="11" spans="1:7" x14ac:dyDescent="0.3">
      <c r="A11" s="1"/>
      <c r="B11" s="14" t="s">
        <v>9</v>
      </c>
      <c r="C11" s="15" t="s">
        <v>9</v>
      </c>
      <c r="D11" s="23" t="s">
        <v>6</v>
      </c>
      <c r="E11" s="4" t="str">
        <f>+IF(B11=C11,"VERDADERO","FALSO")</f>
        <v>VERDADERO</v>
      </c>
      <c r="F11" s="20" t="b">
        <v>1</v>
      </c>
      <c r="G11" s="20" t="b">
        <v>0</v>
      </c>
    </row>
    <row r="12" spans="1:7" x14ac:dyDescent="0.3">
      <c r="A12" s="1"/>
      <c r="B12" s="16">
        <v>45000</v>
      </c>
      <c r="C12" s="17">
        <v>34000</v>
      </c>
      <c r="D12" s="23" t="s">
        <v>7</v>
      </c>
      <c r="E12" s="4" t="str">
        <f>+IF(B12&gt;=C12,"VERDADERO","FALSO")</f>
        <v>VERDADERO</v>
      </c>
      <c r="F12" s="20" t="b">
        <v>1</v>
      </c>
      <c r="G12" s="20" t="b">
        <v>0</v>
      </c>
    </row>
    <row r="13" spans="1:7" x14ac:dyDescent="0.3">
      <c r="A13" s="1"/>
      <c r="B13" s="18">
        <v>0.12</v>
      </c>
      <c r="C13" s="19">
        <v>0.5</v>
      </c>
      <c r="D13" s="23" t="s">
        <v>4</v>
      </c>
      <c r="E13" s="4" t="str">
        <f t="shared" si="0"/>
        <v>FALSO</v>
      </c>
      <c r="F13" s="20" t="b">
        <v>0</v>
      </c>
      <c r="G13" s="20" t="b">
        <v>1</v>
      </c>
    </row>
    <row r="14" spans="1:7" ht="15" thickBot="1" x14ac:dyDescent="0.35">
      <c r="A14" s="1"/>
      <c r="B14" s="12" t="s">
        <v>12</v>
      </c>
      <c r="C14" s="13" t="s">
        <v>13</v>
      </c>
      <c r="D14" s="24" t="s">
        <v>11</v>
      </c>
      <c r="E14" s="4" t="str">
        <f>+IF(B14&lt;&gt;C14,"VERDADERO","FALSO")</f>
        <v>VERDADERO</v>
      </c>
      <c r="F14" s="20" t="b">
        <v>1</v>
      </c>
      <c r="G14" s="20" t="b">
        <v>0</v>
      </c>
    </row>
    <row r="15" spans="1:7" x14ac:dyDescent="0.3">
      <c r="A15" s="1"/>
      <c r="B15" s="5"/>
      <c r="C15" s="5"/>
      <c r="D15" s="6"/>
      <c r="E15" s="1"/>
      <c r="F15" s="1"/>
      <c r="G15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ht="30" x14ac:dyDescent="0.5">
      <c r="B21" s="7" t="s">
        <v>14</v>
      </c>
      <c r="C21" s="7"/>
      <c r="D21" s="1"/>
      <c r="E21" s="1"/>
    </row>
    <row r="28" spans="2:5" x14ac:dyDescent="0.3">
      <c r="B28" s="1"/>
      <c r="C28" s="1"/>
      <c r="D28" s="1"/>
      <c r="E28" s="2" t="b">
        <v>1</v>
      </c>
    </row>
    <row r="29" spans="2:5" x14ac:dyDescent="0.3">
      <c r="B29" s="1"/>
      <c r="C29" s="1"/>
      <c r="D29" s="1"/>
      <c r="E29" s="2" t="b">
        <v>0</v>
      </c>
    </row>
  </sheetData>
  <pageMargins left="0.7" right="0.7" top="0.75" bottom="0.75" header="0.3" footer="0.3"/>
  <ignoredErrors>
    <ignoredError sqref="E3:E14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14"/>
  <sheetViews>
    <sheetView tabSelected="1" workbookViewId="0">
      <selection activeCell="F6" sqref="F6"/>
    </sheetView>
  </sheetViews>
  <sheetFormatPr baseColWidth="10" defaultRowHeight="14.4" x14ac:dyDescent="0.3"/>
  <cols>
    <col min="2" max="2" width="22.109375" customWidth="1"/>
  </cols>
  <sheetData>
    <row r="1" spans="1:8" ht="15" thickBot="1" x14ac:dyDescent="0.35">
      <c r="A1" s="25" t="b">
        <v>1</v>
      </c>
      <c r="B1" s="25" t="b">
        <v>0</v>
      </c>
      <c r="C1" s="25"/>
      <c r="D1" s="25"/>
      <c r="E1" s="25"/>
      <c r="F1" s="25"/>
      <c r="G1" s="25"/>
      <c r="H1" s="25"/>
    </row>
    <row r="2" spans="1:8" ht="15" thickBot="1" x14ac:dyDescent="0.35">
      <c r="A2" s="28"/>
      <c r="B2" s="41" t="s">
        <v>15</v>
      </c>
      <c r="C2" s="42" t="s">
        <v>16</v>
      </c>
      <c r="D2" s="42" t="s">
        <v>17</v>
      </c>
      <c r="E2" s="42" t="s">
        <v>18</v>
      </c>
      <c r="F2" s="43" t="s">
        <v>19</v>
      </c>
      <c r="G2" s="28"/>
      <c r="H2" s="28"/>
    </row>
    <row r="3" spans="1:8" x14ac:dyDescent="0.3">
      <c r="A3" s="28"/>
      <c r="B3" s="38" t="s">
        <v>20</v>
      </c>
      <c r="C3" s="39">
        <v>5.5</v>
      </c>
      <c r="D3" s="39">
        <v>2</v>
      </c>
      <c r="E3" s="40">
        <v>3.75</v>
      </c>
      <c r="F3" s="32"/>
      <c r="G3" s="25" t="s">
        <v>21</v>
      </c>
      <c r="H3" s="25" t="b">
        <v>0</v>
      </c>
    </row>
    <row r="4" spans="1:8" x14ac:dyDescent="0.3">
      <c r="A4" s="28"/>
      <c r="B4" s="34" t="s">
        <v>22</v>
      </c>
      <c r="C4" s="29">
        <v>5</v>
      </c>
      <c r="D4" s="29">
        <v>3</v>
      </c>
      <c r="E4" s="36">
        <v>4</v>
      </c>
      <c r="F4" s="32"/>
      <c r="G4" s="25" t="s">
        <v>23</v>
      </c>
      <c r="H4" s="25" t="b">
        <v>0</v>
      </c>
    </row>
    <row r="5" spans="1:8" x14ac:dyDescent="0.3">
      <c r="A5" s="28"/>
      <c r="B5" s="34" t="s">
        <v>24</v>
      </c>
      <c r="C5" s="29">
        <v>3.5</v>
      </c>
      <c r="D5" s="29">
        <v>3</v>
      </c>
      <c r="E5" s="36">
        <v>3.25</v>
      </c>
      <c r="F5" s="32"/>
      <c r="G5" s="25" t="s">
        <v>21</v>
      </c>
      <c r="H5" s="25" t="b">
        <v>0</v>
      </c>
    </row>
    <row r="6" spans="1:8" x14ac:dyDescent="0.3">
      <c r="A6" s="28"/>
      <c r="B6" s="34" t="s">
        <v>25</v>
      </c>
      <c r="C6" s="29">
        <v>6.2</v>
      </c>
      <c r="D6" s="29">
        <v>5.9</v>
      </c>
      <c r="E6" s="36">
        <v>6.0500000000000007</v>
      </c>
      <c r="F6" s="32"/>
      <c r="G6" s="25" t="s">
        <v>23</v>
      </c>
      <c r="H6" s="25" t="b">
        <v>0</v>
      </c>
    </row>
    <row r="7" spans="1:8" x14ac:dyDescent="0.3">
      <c r="A7" s="28"/>
      <c r="B7" s="34" t="s">
        <v>26</v>
      </c>
      <c r="C7" s="29">
        <v>4.5</v>
      </c>
      <c r="D7" s="29">
        <v>3.5</v>
      </c>
      <c r="E7" s="36">
        <v>4</v>
      </c>
      <c r="F7" s="32"/>
      <c r="G7" s="25" t="s">
        <v>23</v>
      </c>
      <c r="H7" s="25" t="b">
        <v>0</v>
      </c>
    </row>
    <row r="8" spans="1:8" x14ac:dyDescent="0.3">
      <c r="A8" s="28"/>
      <c r="B8" s="34" t="s">
        <v>27</v>
      </c>
      <c r="C8" s="29">
        <v>4</v>
      </c>
      <c r="D8" s="29">
        <v>3</v>
      </c>
      <c r="E8" s="36">
        <v>3.5</v>
      </c>
      <c r="F8" s="32"/>
      <c r="G8" s="25" t="s">
        <v>21</v>
      </c>
      <c r="H8" s="25" t="b">
        <v>0</v>
      </c>
    </row>
    <row r="9" spans="1:8" x14ac:dyDescent="0.3">
      <c r="A9" s="28"/>
      <c r="B9" s="34" t="s">
        <v>28</v>
      </c>
      <c r="C9" s="29">
        <v>6.2</v>
      </c>
      <c r="D9" s="29">
        <v>7</v>
      </c>
      <c r="E9" s="36">
        <v>6.6</v>
      </c>
      <c r="F9" s="32"/>
      <c r="G9" s="25" t="s">
        <v>23</v>
      </c>
      <c r="H9" s="25" t="b">
        <v>0</v>
      </c>
    </row>
    <row r="10" spans="1:8" ht="15" thickBot="1" x14ac:dyDescent="0.35">
      <c r="A10" s="28"/>
      <c r="B10" s="35" t="s">
        <v>29</v>
      </c>
      <c r="C10" s="30">
        <v>3</v>
      </c>
      <c r="D10" s="30">
        <v>5.8</v>
      </c>
      <c r="E10" s="37">
        <v>4.4000000000000004</v>
      </c>
      <c r="F10" s="32"/>
      <c r="G10" s="25" t="s">
        <v>23</v>
      </c>
      <c r="H10" s="25" t="b">
        <v>0</v>
      </c>
    </row>
    <row r="11" spans="1:8" x14ac:dyDescent="0.3">
      <c r="A11" s="25"/>
      <c r="B11" s="26"/>
      <c r="C11" s="25"/>
      <c r="D11" s="25"/>
      <c r="E11" s="27"/>
      <c r="F11" s="25"/>
      <c r="G11" s="28"/>
      <c r="H11" s="28"/>
    </row>
    <row r="14" spans="1:8" ht="30" x14ac:dyDescent="0.5">
      <c r="A14" s="1"/>
      <c r="B14" s="31" t="s">
        <v>14</v>
      </c>
      <c r="C14" s="1"/>
      <c r="D14" s="1"/>
      <c r="E14" s="1"/>
      <c r="F14" s="1"/>
      <c r="G14" s="1"/>
      <c r="H1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I23" sqref="I23"/>
    </sheetView>
  </sheetViews>
  <sheetFormatPr baseColWidth="10" defaultRowHeight="14.4" x14ac:dyDescent="0.3"/>
  <cols>
    <col min="2" max="2" width="28.6640625" customWidth="1"/>
  </cols>
  <sheetData>
    <row r="1" spans="1:9" x14ac:dyDescent="0.3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</row>
    <row r="2" spans="1:9" ht="15" thickBot="1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32" t="s">
        <v>30</v>
      </c>
      <c r="C3" s="133"/>
      <c r="D3" s="133"/>
      <c r="E3" s="133"/>
      <c r="F3" s="133"/>
      <c r="G3" s="134"/>
      <c r="H3" s="1"/>
      <c r="I3" s="1"/>
    </row>
    <row r="4" spans="1:9" ht="15" thickBot="1" x14ac:dyDescent="0.35">
      <c r="A4" s="1"/>
      <c r="B4" s="135"/>
      <c r="C4" s="136"/>
      <c r="D4" s="136"/>
      <c r="E4" s="136"/>
      <c r="F4" s="136"/>
      <c r="G4" s="137"/>
      <c r="H4" s="1"/>
      <c r="I4" s="1"/>
    </row>
    <row r="5" spans="1:9" ht="15" thickBot="1" x14ac:dyDescent="0.35">
      <c r="A5" s="1"/>
      <c r="B5" s="44"/>
      <c r="C5" s="44"/>
      <c r="D5" s="44"/>
      <c r="E5" s="44"/>
      <c r="F5" s="44"/>
      <c r="G5" s="44"/>
      <c r="H5" s="1"/>
      <c r="I5" s="1"/>
    </row>
    <row r="6" spans="1:9" ht="15" thickBot="1" x14ac:dyDescent="0.35">
      <c r="A6" s="1"/>
      <c r="B6" s="48" t="s">
        <v>31</v>
      </c>
      <c r="C6" s="49" t="s">
        <v>32</v>
      </c>
      <c r="D6" s="49" t="s">
        <v>33</v>
      </c>
      <c r="E6" s="49" t="s">
        <v>34</v>
      </c>
      <c r="F6" s="49" t="s">
        <v>35</v>
      </c>
      <c r="G6" s="50" t="s">
        <v>36</v>
      </c>
      <c r="H6" s="25"/>
      <c r="I6" s="25"/>
    </row>
    <row r="7" spans="1:9" ht="15" thickBot="1" x14ac:dyDescent="0.35">
      <c r="A7" s="1"/>
      <c r="B7" s="59" t="s">
        <v>37</v>
      </c>
      <c r="C7" s="60">
        <v>25</v>
      </c>
      <c r="D7" s="51" t="s">
        <v>38</v>
      </c>
      <c r="E7" s="60" t="s">
        <v>39</v>
      </c>
      <c r="F7" s="51" t="str">
        <f>+IF(G7&gt;=1,"Contado","Credito")</f>
        <v>Contado</v>
      </c>
      <c r="G7" s="52">
        <v>1</v>
      </c>
      <c r="H7" s="25" t="s">
        <v>40</v>
      </c>
      <c r="I7" s="25" t="b">
        <v>0</v>
      </c>
    </row>
    <row r="8" spans="1:9" ht="15" thickBot="1" x14ac:dyDescent="0.35">
      <c r="A8" s="1"/>
      <c r="B8" s="57" t="s">
        <v>41</v>
      </c>
      <c r="C8" s="46">
        <v>30</v>
      </c>
      <c r="D8" s="53" t="s">
        <v>42</v>
      </c>
      <c r="E8" s="46" t="s">
        <v>43</v>
      </c>
      <c r="F8" s="51" t="str">
        <f>+IF(G8=1,"Contado","Credito")</f>
        <v>Credito</v>
      </c>
      <c r="G8" s="54">
        <v>2</v>
      </c>
      <c r="H8" s="25" t="s">
        <v>44</v>
      </c>
      <c r="I8" s="25" t="b">
        <v>0</v>
      </c>
    </row>
    <row r="9" spans="1:9" ht="15" thickBot="1" x14ac:dyDescent="0.35">
      <c r="A9" s="1"/>
      <c r="B9" s="57" t="s">
        <v>45</v>
      </c>
      <c r="C9" s="46">
        <v>42</v>
      </c>
      <c r="D9" s="53" t="s">
        <v>46</v>
      </c>
      <c r="E9" s="46" t="s">
        <v>43</v>
      </c>
      <c r="F9" s="51" t="str">
        <f t="shared" ref="F9:F16" si="0">+IF(G9=1,"Contado","Credito")</f>
        <v>Credito</v>
      </c>
      <c r="G9" s="54">
        <v>3</v>
      </c>
      <c r="H9" s="25" t="s">
        <v>44</v>
      </c>
      <c r="I9" s="25" t="b">
        <v>0</v>
      </c>
    </row>
    <row r="10" spans="1:9" ht="15" thickBot="1" x14ac:dyDescent="0.35">
      <c r="A10" s="1"/>
      <c r="B10" s="57" t="s">
        <v>47</v>
      </c>
      <c r="C10" s="46">
        <v>35</v>
      </c>
      <c r="D10" s="53" t="s">
        <v>48</v>
      </c>
      <c r="E10" s="46" t="s">
        <v>49</v>
      </c>
      <c r="F10" s="51" t="str">
        <f t="shared" si="0"/>
        <v>Contado</v>
      </c>
      <c r="G10" s="54">
        <v>1</v>
      </c>
      <c r="H10" s="25" t="s">
        <v>40</v>
      </c>
      <c r="I10" s="25" t="b">
        <v>0</v>
      </c>
    </row>
    <row r="11" spans="1:9" ht="15" thickBot="1" x14ac:dyDescent="0.35">
      <c r="A11" s="1"/>
      <c r="B11" s="57" t="s">
        <v>50</v>
      </c>
      <c r="C11" s="46">
        <v>23</v>
      </c>
      <c r="D11" s="53" t="s">
        <v>42</v>
      </c>
      <c r="E11" s="46" t="s">
        <v>39</v>
      </c>
      <c r="F11" s="51" t="str">
        <f t="shared" si="0"/>
        <v>Contado</v>
      </c>
      <c r="G11" s="54">
        <v>1</v>
      </c>
      <c r="H11" s="25" t="s">
        <v>40</v>
      </c>
      <c r="I11" s="25" t="b">
        <v>0</v>
      </c>
    </row>
    <row r="12" spans="1:9" ht="15" thickBot="1" x14ac:dyDescent="0.35">
      <c r="A12" s="1"/>
      <c r="B12" s="57" t="s">
        <v>51</v>
      </c>
      <c r="C12" s="46">
        <v>20</v>
      </c>
      <c r="D12" s="53" t="s">
        <v>52</v>
      </c>
      <c r="E12" s="46" t="s">
        <v>43</v>
      </c>
      <c r="F12" s="51" t="str">
        <f t="shared" si="0"/>
        <v>Contado</v>
      </c>
      <c r="G12" s="54">
        <v>1</v>
      </c>
      <c r="H12" s="25" t="s">
        <v>40</v>
      </c>
      <c r="I12" s="25" t="b">
        <v>0</v>
      </c>
    </row>
    <row r="13" spans="1:9" ht="15" thickBot="1" x14ac:dyDescent="0.35">
      <c r="A13" s="1"/>
      <c r="B13" s="57" t="s">
        <v>53</v>
      </c>
      <c r="C13" s="46">
        <v>36</v>
      </c>
      <c r="D13" s="53" t="s">
        <v>38</v>
      </c>
      <c r="E13" s="46" t="s">
        <v>39</v>
      </c>
      <c r="F13" s="51" t="str">
        <f t="shared" si="0"/>
        <v>Contado</v>
      </c>
      <c r="G13" s="54">
        <v>1</v>
      </c>
      <c r="H13" s="25" t="s">
        <v>40</v>
      </c>
      <c r="I13" s="25" t="b">
        <v>0</v>
      </c>
    </row>
    <row r="14" spans="1:9" ht="15" thickBot="1" x14ac:dyDescent="0.35">
      <c r="A14" s="1"/>
      <c r="B14" s="57" t="s">
        <v>54</v>
      </c>
      <c r="C14" s="46">
        <v>40</v>
      </c>
      <c r="D14" s="53" t="s">
        <v>42</v>
      </c>
      <c r="E14" s="46" t="s">
        <v>43</v>
      </c>
      <c r="F14" s="51" t="str">
        <f t="shared" si="0"/>
        <v>Contado</v>
      </c>
      <c r="G14" s="54">
        <v>1</v>
      </c>
      <c r="H14" s="25" t="s">
        <v>40</v>
      </c>
      <c r="I14" s="25" t="b">
        <v>0</v>
      </c>
    </row>
    <row r="15" spans="1:9" ht="15" thickBot="1" x14ac:dyDescent="0.35">
      <c r="A15" s="1"/>
      <c r="B15" s="57" t="s">
        <v>55</v>
      </c>
      <c r="C15" s="46">
        <v>45</v>
      </c>
      <c r="D15" s="53" t="s">
        <v>48</v>
      </c>
      <c r="E15" s="46" t="s">
        <v>49</v>
      </c>
      <c r="F15" s="51" t="str">
        <f t="shared" si="0"/>
        <v>Credito</v>
      </c>
      <c r="G15" s="54">
        <v>3</v>
      </c>
      <c r="H15" s="25" t="s">
        <v>44</v>
      </c>
      <c r="I15" s="25" t="b">
        <v>0</v>
      </c>
    </row>
    <row r="16" spans="1:9" ht="15" thickBot="1" x14ac:dyDescent="0.35">
      <c r="A16" s="1"/>
      <c r="B16" s="58" t="s">
        <v>56</v>
      </c>
      <c r="C16" s="47">
        <v>28</v>
      </c>
      <c r="D16" s="55" t="s">
        <v>46</v>
      </c>
      <c r="E16" s="47" t="s">
        <v>39</v>
      </c>
      <c r="F16" s="51" t="str">
        <f t="shared" si="0"/>
        <v>Credito</v>
      </c>
      <c r="G16" s="56">
        <v>3</v>
      </c>
      <c r="H16" s="25" t="s">
        <v>44</v>
      </c>
      <c r="I16" s="25" t="b">
        <v>0</v>
      </c>
    </row>
    <row r="17" spans="2:9" x14ac:dyDescent="0.3">
      <c r="B17" s="44"/>
      <c r="C17" s="45"/>
      <c r="D17" s="44"/>
      <c r="E17" s="45"/>
      <c r="F17" s="44"/>
      <c r="G17" s="45"/>
      <c r="H17" s="25"/>
      <c r="I17" s="25"/>
    </row>
    <row r="18" spans="2:9" x14ac:dyDescent="0.3">
      <c r="B18" s="44"/>
      <c r="C18" s="45"/>
      <c r="D18" s="44"/>
      <c r="E18" s="45"/>
      <c r="F18" s="44"/>
      <c r="G18" s="45"/>
      <c r="H18" s="1"/>
      <c r="I18" s="1"/>
    </row>
    <row r="19" spans="2:9" x14ac:dyDescent="0.3">
      <c r="B19" s="44"/>
      <c r="C19" s="45"/>
      <c r="D19" s="44"/>
      <c r="E19" s="45"/>
      <c r="F19" s="44"/>
      <c r="G19" s="45"/>
      <c r="H19" s="1"/>
      <c r="I19" s="1"/>
    </row>
    <row r="20" spans="2:9" x14ac:dyDescent="0.3">
      <c r="B20" s="44"/>
      <c r="C20" s="45"/>
      <c r="D20" s="44"/>
      <c r="E20" s="45"/>
      <c r="F20" s="44"/>
      <c r="G20" s="45"/>
      <c r="H20" s="1"/>
      <c r="I20" s="1"/>
    </row>
    <row r="21" spans="2:9" ht="30" x14ac:dyDescent="0.5">
      <c r="B21" s="31" t="s">
        <v>14</v>
      </c>
      <c r="C21" s="45"/>
      <c r="D21" s="44"/>
      <c r="E21" s="45"/>
      <c r="F21" s="44"/>
      <c r="G21" s="45"/>
      <c r="H21" s="1"/>
      <c r="I21" s="1"/>
    </row>
    <row r="22" spans="2:9" x14ac:dyDescent="0.3">
      <c r="B22" s="44"/>
      <c r="C22" s="45"/>
      <c r="D22" s="44"/>
      <c r="E22" s="45"/>
      <c r="F22" s="44"/>
      <c r="G22" s="45"/>
      <c r="H22" s="1"/>
      <c r="I22" s="1"/>
    </row>
    <row r="23" spans="2:9" x14ac:dyDescent="0.3">
      <c r="B23" s="44"/>
      <c r="C23" s="45"/>
      <c r="D23" s="44"/>
      <c r="E23" s="45"/>
      <c r="F23" s="44"/>
      <c r="G23" s="45"/>
      <c r="H23" s="1"/>
      <c r="I23" s="1"/>
    </row>
    <row r="24" spans="2:9" x14ac:dyDescent="0.3">
      <c r="B24" s="44"/>
      <c r="C24" s="45"/>
      <c r="D24" s="44"/>
      <c r="E24" s="45"/>
      <c r="F24" s="44"/>
      <c r="G24" s="45"/>
      <c r="H24" s="1"/>
      <c r="I24" s="1"/>
    </row>
    <row r="25" spans="2:9" x14ac:dyDescent="0.3">
      <c r="B25" s="44"/>
      <c r="C25" s="45"/>
      <c r="D25" s="44"/>
      <c r="E25" s="45"/>
      <c r="F25" s="44"/>
      <c r="G25" s="45"/>
      <c r="H25" s="1"/>
      <c r="I25" s="1"/>
    </row>
    <row r="26" spans="2:9" x14ac:dyDescent="0.3">
      <c r="B26" s="44"/>
      <c r="C26" s="45"/>
      <c r="D26" s="44"/>
      <c r="E26" s="45"/>
      <c r="F26" s="44"/>
      <c r="G26" s="45"/>
      <c r="H26" s="1"/>
      <c r="I26" s="1"/>
    </row>
    <row r="27" spans="2:9" x14ac:dyDescent="0.3">
      <c r="B27" s="44"/>
      <c r="C27" s="45"/>
      <c r="D27" s="44"/>
      <c r="E27" s="45"/>
      <c r="F27" s="44"/>
      <c r="G27" s="45"/>
      <c r="H27" s="1"/>
      <c r="I27" s="1"/>
    </row>
    <row r="28" spans="2:9" x14ac:dyDescent="0.3">
      <c r="B28" s="44"/>
      <c r="C28" s="45"/>
      <c r="D28" s="44"/>
      <c r="E28" s="45"/>
      <c r="F28" s="44"/>
      <c r="G28" s="45"/>
      <c r="H28" s="1"/>
      <c r="I28" s="1"/>
    </row>
  </sheetData>
  <mergeCells count="1">
    <mergeCell ref="B3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2"/>
  <sheetViews>
    <sheetView workbookViewId="0">
      <selection activeCell="E6" sqref="E6"/>
    </sheetView>
  </sheetViews>
  <sheetFormatPr baseColWidth="10" defaultRowHeight="14.4" x14ac:dyDescent="0.3"/>
  <cols>
    <col min="3" max="3" width="43" customWidth="1"/>
    <col min="4" max="4" width="21.109375" customWidth="1"/>
    <col min="5" max="5" width="18.5546875" customWidth="1"/>
  </cols>
  <sheetData>
    <row r="1" spans="1:7" ht="15" thickBot="1" x14ac:dyDescent="0.35">
      <c r="A1" s="25" t="b">
        <v>1</v>
      </c>
      <c r="B1" s="73" t="b">
        <v>0</v>
      </c>
      <c r="C1" s="25"/>
      <c r="D1" s="74"/>
      <c r="E1" s="25"/>
      <c r="F1" s="25"/>
      <c r="G1" s="25"/>
    </row>
    <row r="2" spans="1:7" ht="15" thickBot="1" x14ac:dyDescent="0.35">
      <c r="A2" s="61"/>
      <c r="B2" s="62" t="s">
        <v>57</v>
      </c>
      <c r="C2" s="63" t="s">
        <v>58</v>
      </c>
      <c r="D2" s="64" t="s">
        <v>59</v>
      </c>
      <c r="E2" s="65" t="s">
        <v>60</v>
      </c>
      <c r="F2" s="66"/>
      <c r="G2" s="66"/>
    </row>
    <row r="3" spans="1:7" ht="15" thickBot="1" x14ac:dyDescent="0.35">
      <c r="A3" s="1"/>
      <c r="B3" s="75">
        <v>1</v>
      </c>
      <c r="C3" s="76" t="s">
        <v>61</v>
      </c>
      <c r="D3" s="77">
        <v>2246</v>
      </c>
      <c r="E3" s="78" t="str">
        <f>+IF(D3&lt;1000,"COMPRAR","OK")</f>
        <v>OK</v>
      </c>
      <c r="F3" s="25" t="s">
        <v>62</v>
      </c>
      <c r="G3" s="25" t="b">
        <v>0</v>
      </c>
    </row>
    <row r="4" spans="1:7" ht="15" thickBot="1" x14ac:dyDescent="0.35">
      <c r="A4" s="1"/>
      <c r="B4" s="67">
        <v>2</v>
      </c>
      <c r="C4" s="68" t="s">
        <v>63</v>
      </c>
      <c r="D4" s="71">
        <v>1550</v>
      </c>
      <c r="E4" s="78" t="str">
        <f t="shared" ref="E4:E67" si="0">+IF(D4&lt;1000,"COMPRAR","OK")</f>
        <v>OK</v>
      </c>
      <c r="F4" s="25" t="s">
        <v>62</v>
      </c>
      <c r="G4" s="25" t="b">
        <v>0</v>
      </c>
    </row>
    <row r="5" spans="1:7" ht="15" thickBot="1" x14ac:dyDescent="0.35">
      <c r="A5" s="1"/>
      <c r="B5" s="67">
        <v>3</v>
      </c>
      <c r="C5" s="68" t="s">
        <v>64</v>
      </c>
      <c r="D5" s="71">
        <v>1000</v>
      </c>
      <c r="E5" s="78" t="str">
        <f t="shared" si="0"/>
        <v>OK</v>
      </c>
      <c r="F5" s="25" t="s">
        <v>62</v>
      </c>
      <c r="G5" s="25" t="b">
        <v>0</v>
      </c>
    </row>
    <row r="6" spans="1:7" ht="15" thickBot="1" x14ac:dyDescent="0.35">
      <c r="A6" s="1"/>
      <c r="B6" s="67">
        <v>4</v>
      </c>
      <c r="C6" s="68" t="s">
        <v>65</v>
      </c>
      <c r="D6" s="71">
        <v>999</v>
      </c>
      <c r="E6" s="78" t="str">
        <f t="shared" si="0"/>
        <v>COMPRAR</v>
      </c>
      <c r="F6" s="25" t="s">
        <v>66</v>
      </c>
      <c r="G6" s="25" t="b">
        <v>0</v>
      </c>
    </row>
    <row r="7" spans="1:7" ht="15" thickBot="1" x14ac:dyDescent="0.35">
      <c r="A7" s="1"/>
      <c r="B7" s="67">
        <v>5</v>
      </c>
      <c r="C7" s="68" t="s">
        <v>67</v>
      </c>
      <c r="D7" s="71">
        <v>1000</v>
      </c>
      <c r="E7" s="78" t="str">
        <f t="shared" si="0"/>
        <v>OK</v>
      </c>
      <c r="F7" s="25" t="s">
        <v>62</v>
      </c>
      <c r="G7" s="25" t="b">
        <v>0</v>
      </c>
    </row>
    <row r="8" spans="1:7" ht="15" thickBot="1" x14ac:dyDescent="0.35">
      <c r="A8" s="1"/>
      <c r="B8" s="67">
        <v>6</v>
      </c>
      <c r="C8" s="68" t="s">
        <v>68</v>
      </c>
      <c r="D8" s="71">
        <v>2354</v>
      </c>
      <c r="E8" s="78" t="str">
        <f t="shared" si="0"/>
        <v>OK</v>
      </c>
      <c r="F8" s="25" t="s">
        <v>62</v>
      </c>
      <c r="G8" s="25" t="b">
        <v>0</v>
      </c>
    </row>
    <row r="9" spans="1:7" ht="15" thickBot="1" x14ac:dyDescent="0.35">
      <c r="A9" s="1"/>
      <c r="B9" s="67">
        <v>7</v>
      </c>
      <c r="C9" s="68" t="s">
        <v>69</v>
      </c>
      <c r="D9" s="71">
        <v>1001</v>
      </c>
      <c r="E9" s="78" t="str">
        <f t="shared" si="0"/>
        <v>OK</v>
      </c>
      <c r="F9" s="25" t="s">
        <v>62</v>
      </c>
      <c r="G9" s="25" t="b">
        <v>0</v>
      </c>
    </row>
    <row r="10" spans="1:7" ht="15" thickBot="1" x14ac:dyDescent="0.35">
      <c r="A10" s="1"/>
      <c r="B10" s="67">
        <v>8</v>
      </c>
      <c r="C10" s="68" t="s">
        <v>70</v>
      </c>
      <c r="D10" s="71">
        <v>1000</v>
      </c>
      <c r="E10" s="78" t="str">
        <f t="shared" si="0"/>
        <v>OK</v>
      </c>
      <c r="F10" s="25" t="s">
        <v>62</v>
      </c>
      <c r="G10" s="25" t="b">
        <v>0</v>
      </c>
    </row>
    <row r="11" spans="1:7" ht="15" thickBot="1" x14ac:dyDescent="0.35">
      <c r="A11" s="1"/>
      <c r="B11" s="67">
        <v>9</v>
      </c>
      <c r="C11" s="68" t="s">
        <v>71</v>
      </c>
      <c r="D11" s="71">
        <v>1800</v>
      </c>
      <c r="E11" s="78" t="str">
        <f t="shared" si="0"/>
        <v>OK</v>
      </c>
      <c r="F11" s="25" t="s">
        <v>62</v>
      </c>
      <c r="G11" s="25" t="b">
        <v>0</v>
      </c>
    </row>
    <row r="12" spans="1:7" ht="15" thickBot="1" x14ac:dyDescent="0.35">
      <c r="A12" s="1"/>
      <c r="B12" s="67">
        <v>10</v>
      </c>
      <c r="C12" s="68" t="s">
        <v>72</v>
      </c>
      <c r="D12" s="71">
        <v>350</v>
      </c>
      <c r="E12" s="78" t="str">
        <f t="shared" si="0"/>
        <v>COMPRAR</v>
      </c>
      <c r="F12" s="25" t="s">
        <v>66</v>
      </c>
      <c r="G12" s="25" t="b">
        <v>0</v>
      </c>
    </row>
    <row r="13" spans="1:7" ht="15" thickBot="1" x14ac:dyDescent="0.35">
      <c r="A13" s="1"/>
      <c r="B13" s="67">
        <v>11</v>
      </c>
      <c r="C13" s="68" t="s">
        <v>73</v>
      </c>
      <c r="D13" s="71">
        <v>2564</v>
      </c>
      <c r="E13" s="78" t="str">
        <f t="shared" si="0"/>
        <v>OK</v>
      </c>
      <c r="F13" s="25" t="s">
        <v>62</v>
      </c>
      <c r="G13" s="25" t="b">
        <v>0</v>
      </c>
    </row>
    <row r="14" spans="1:7" ht="15" thickBot="1" x14ac:dyDescent="0.35">
      <c r="A14" s="1"/>
      <c r="B14" s="67">
        <v>12</v>
      </c>
      <c r="C14" s="68" t="s">
        <v>74</v>
      </c>
      <c r="D14" s="71">
        <v>2552</v>
      </c>
      <c r="E14" s="78" t="str">
        <f t="shared" si="0"/>
        <v>OK</v>
      </c>
      <c r="F14" s="25" t="s">
        <v>62</v>
      </c>
      <c r="G14" s="25" t="b">
        <v>0</v>
      </c>
    </row>
    <row r="15" spans="1:7" ht="15" thickBot="1" x14ac:dyDescent="0.35">
      <c r="A15" s="1"/>
      <c r="B15" s="67">
        <v>13</v>
      </c>
      <c r="C15" s="68" t="s">
        <v>75</v>
      </c>
      <c r="D15" s="71">
        <v>200</v>
      </c>
      <c r="E15" s="78" t="str">
        <f t="shared" si="0"/>
        <v>COMPRAR</v>
      </c>
      <c r="F15" s="25" t="s">
        <v>66</v>
      </c>
      <c r="G15" s="25" t="b">
        <v>0</v>
      </c>
    </row>
    <row r="16" spans="1:7" ht="15" thickBot="1" x14ac:dyDescent="0.35">
      <c r="A16" s="1"/>
      <c r="B16" s="67">
        <v>14</v>
      </c>
      <c r="C16" s="68" t="s">
        <v>76</v>
      </c>
      <c r="D16" s="71">
        <v>2462</v>
      </c>
      <c r="E16" s="78" t="str">
        <f t="shared" si="0"/>
        <v>OK</v>
      </c>
      <c r="F16" s="25" t="s">
        <v>62</v>
      </c>
      <c r="G16" s="25" t="b">
        <v>0</v>
      </c>
    </row>
    <row r="17" spans="2:7" ht="15" thickBot="1" x14ac:dyDescent="0.35">
      <c r="B17" s="67">
        <v>15</v>
      </c>
      <c r="C17" s="68" t="s">
        <v>77</v>
      </c>
      <c r="D17" s="71">
        <v>1700</v>
      </c>
      <c r="E17" s="78" t="str">
        <f t="shared" si="0"/>
        <v>OK</v>
      </c>
      <c r="F17" s="25" t="s">
        <v>62</v>
      </c>
      <c r="G17" s="25" t="b">
        <v>0</v>
      </c>
    </row>
    <row r="18" spans="2:7" ht="15" thickBot="1" x14ac:dyDescent="0.35">
      <c r="B18" s="67">
        <v>16</v>
      </c>
      <c r="C18" s="68" t="s">
        <v>78</v>
      </c>
      <c r="D18" s="71">
        <v>2474</v>
      </c>
      <c r="E18" s="78" t="str">
        <f t="shared" si="0"/>
        <v>OK</v>
      </c>
      <c r="F18" s="25" t="s">
        <v>62</v>
      </c>
      <c r="G18" s="25" t="b">
        <v>0</v>
      </c>
    </row>
    <row r="19" spans="2:7" ht="15" thickBot="1" x14ac:dyDescent="0.35">
      <c r="B19" s="67">
        <v>17</v>
      </c>
      <c r="C19" s="68" t="s">
        <v>79</v>
      </c>
      <c r="D19" s="71">
        <v>2348</v>
      </c>
      <c r="E19" s="78" t="str">
        <f t="shared" si="0"/>
        <v>OK</v>
      </c>
      <c r="F19" s="25" t="s">
        <v>62</v>
      </c>
      <c r="G19" s="25" t="b">
        <v>0</v>
      </c>
    </row>
    <row r="20" spans="2:7" ht="15" thickBot="1" x14ac:dyDescent="0.35">
      <c r="B20" s="67">
        <v>18</v>
      </c>
      <c r="C20" s="68" t="s">
        <v>80</v>
      </c>
      <c r="D20" s="71">
        <v>1800</v>
      </c>
      <c r="E20" s="78" t="str">
        <f t="shared" si="0"/>
        <v>OK</v>
      </c>
      <c r="F20" s="25" t="s">
        <v>62</v>
      </c>
      <c r="G20" s="25" t="b">
        <v>0</v>
      </c>
    </row>
    <row r="21" spans="2:7" ht="15" thickBot="1" x14ac:dyDescent="0.35">
      <c r="B21" s="67">
        <v>19</v>
      </c>
      <c r="C21" s="68" t="s">
        <v>81</v>
      </c>
      <c r="D21" s="71">
        <v>999</v>
      </c>
      <c r="E21" s="78" t="str">
        <f t="shared" si="0"/>
        <v>COMPRAR</v>
      </c>
      <c r="F21" s="25" t="s">
        <v>66</v>
      </c>
      <c r="G21" s="25" t="b">
        <v>0</v>
      </c>
    </row>
    <row r="22" spans="2:7" ht="15" thickBot="1" x14ac:dyDescent="0.35">
      <c r="B22" s="67">
        <v>20</v>
      </c>
      <c r="C22" s="68" t="s">
        <v>82</v>
      </c>
      <c r="D22" s="71">
        <v>1750</v>
      </c>
      <c r="E22" s="78" t="str">
        <f t="shared" si="0"/>
        <v>OK</v>
      </c>
      <c r="F22" s="25" t="s">
        <v>62</v>
      </c>
      <c r="G22" s="25" t="b">
        <v>0</v>
      </c>
    </row>
    <row r="23" spans="2:7" ht="15" thickBot="1" x14ac:dyDescent="0.35">
      <c r="B23" s="67">
        <v>21</v>
      </c>
      <c r="C23" s="68" t="s">
        <v>83</v>
      </c>
      <c r="D23" s="71">
        <v>250</v>
      </c>
      <c r="E23" s="78" t="str">
        <f t="shared" si="0"/>
        <v>COMPRAR</v>
      </c>
      <c r="F23" s="25" t="s">
        <v>66</v>
      </c>
      <c r="G23" s="25" t="b">
        <v>0</v>
      </c>
    </row>
    <row r="24" spans="2:7" ht="15" thickBot="1" x14ac:dyDescent="0.35">
      <c r="B24" s="67">
        <v>22</v>
      </c>
      <c r="C24" s="68" t="s">
        <v>84</v>
      </c>
      <c r="D24" s="71">
        <v>300</v>
      </c>
      <c r="E24" s="78" t="str">
        <f t="shared" si="0"/>
        <v>COMPRAR</v>
      </c>
      <c r="F24" s="25" t="s">
        <v>66</v>
      </c>
      <c r="G24" s="25" t="b">
        <v>0</v>
      </c>
    </row>
    <row r="25" spans="2:7" ht="15" thickBot="1" x14ac:dyDescent="0.35">
      <c r="B25" s="67">
        <v>23</v>
      </c>
      <c r="C25" s="68" t="s">
        <v>85</v>
      </c>
      <c r="D25" s="71">
        <v>350</v>
      </c>
      <c r="E25" s="78" t="str">
        <f t="shared" si="0"/>
        <v>COMPRAR</v>
      </c>
      <c r="F25" s="25" t="s">
        <v>66</v>
      </c>
      <c r="G25" s="25" t="b">
        <v>0</v>
      </c>
    </row>
    <row r="26" spans="2:7" ht="15" thickBot="1" x14ac:dyDescent="0.35">
      <c r="B26" s="67">
        <v>24</v>
      </c>
      <c r="C26" s="68" t="s">
        <v>86</v>
      </c>
      <c r="D26" s="71">
        <v>250</v>
      </c>
      <c r="E26" s="78" t="str">
        <f t="shared" si="0"/>
        <v>COMPRAR</v>
      </c>
      <c r="F26" s="25" t="s">
        <v>66</v>
      </c>
      <c r="G26" s="25" t="b">
        <v>0</v>
      </c>
    </row>
    <row r="27" spans="2:7" ht="15" thickBot="1" x14ac:dyDescent="0.35">
      <c r="B27" s="67">
        <v>25</v>
      </c>
      <c r="C27" s="68" t="s">
        <v>87</v>
      </c>
      <c r="D27" s="71">
        <v>1950</v>
      </c>
      <c r="E27" s="78" t="str">
        <f t="shared" si="0"/>
        <v>OK</v>
      </c>
      <c r="F27" s="25" t="s">
        <v>62</v>
      </c>
      <c r="G27" s="25" t="b">
        <v>0</v>
      </c>
    </row>
    <row r="28" spans="2:7" ht="15" thickBot="1" x14ac:dyDescent="0.35">
      <c r="B28" s="67">
        <v>26</v>
      </c>
      <c r="C28" s="68" t="s">
        <v>88</v>
      </c>
      <c r="D28" s="71">
        <v>32</v>
      </c>
      <c r="E28" s="78" t="str">
        <f t="shared" si="0"/>
        <v>COMPRAR</v>
      </c>
      <c r="F28" s="25" t="s">
        <v>66</v>
      </c>
      <c r="G28" s="25" t="b">
        <v>0</v>
      </c>
    </row>
    <row r="29" spans="2:7" ht="15" thickBot="1" x14ac:dyDescent="0.35">
      <c r="B29" s="67">
        <v>27</v>
      </c>
      <c r="C29" s="68" t="s">
        <v>89</v>
      </c>
      <c r="D29" s="71">
        <v>200</v>
      </c>
      <c r="E29" s="78" t="str">
        <f t="shared" si="0"/>
        <v>COMPRAR</v>
      </c>
      <c r="F29" s="25" t="s">
        <v>66</v>
      </c>
      <c r="G29" s="25" t="b">
        <v>0</v>
      </c>
    </row>
    <row r="30" spans="2:7" ht="15" thickBot="1" x14ac:dyDescent="0.35">
      <c r="B30" s="67">
        <v>28</v>
      </c>
      <c r="C30" s="68" t="s">
        <v>90</v>
      </c>
      <c r="D30" s="71">
        <v>1600</v>
      </c>
      <c r="E30" s="78" t="str">
        <f t="shared" si="0"/>
        <v>OK</v>
      </c>
      <c r="F30" s="25" t="s">
        <v>62</v>
      </c>
      <c r="G30" s="25" t="b">
        <v>0</v>
      </c>
    </row>
    <row r="31" spans="2:7" ht="15" thickBot="1" x14ac:dyDescent="0.35">
      <c r="B31" s="67">
        <v>29</v>
      </c>
      <c r="C31" s="68" t="s">
        <v>91</v>
      </c>
      <c r="D31" s="71">
        <v>1550</v>
      </c>
      <c r="E31" s="78" t="str">
        <f t="shared" si="0"/>
        <v>OK</v>
      </c>
      <c r="F31" s="25" t="s">
        <v>62</v>
      </c>
      <c r="G31" s="25" t="b">
        <v>0</v>
      </c>
    </row>
    <row r="32" spans="2:7" ht="15" thickBot="1" x14ac:dyDescent="0.35">
      <c r="B32" s="67">
        <v>30</v>
      </c>
      <c r="C32" s="68" t="s">
        <v>92</v>
      </c>
      <c r="D32" s="71">
        <v>250</v>
      </c>
      <c r="E32" s="78" t="str">
        <f t="shared" si="0"/>
        <v>COMPRAR</v>
      </c>
      <c r="F32" s="25" t="s">
        <v>66</v>
      </c>
      <c r="G32" s="25" t="b">
        <v>0</v>
      </c>
    </row>
    <row r="33" spans="2:7" ht="15" thickBot="1" x14ac:dyDescent="0.35">
      <c r="B33" s="67">
        <v>31</v>
      </c>
      <c r="C33" s="68" t="s">
        <v>93</v>
      </c>
      <c r="D33" s="71">
        <v>1750</v>
      </c>
      <c r="E33" s="78" t="str">
        <f t="shared" si="0"/>
        <v>OK</v>
      </c>
      <c r="F33" s="25" t="s">
        <v>62</v>
      </c>
      <c r="G33" s="25" t="b">
        <v>0</v>
      </c>
    </row>
    <row r="34" spans="2:7" ht="15" thickBot="1" x14ac:dyDescent="0.35">
      <c r="B34" s="67">
        <v>32</v>
      </c>
      <c r="C34" s="68" t="s">
        <v>94</v>
      </c>
      <c r="D34" s="71">
        <v>6</v>
      </c>
      <c r="E34" s="78" t="str">
        <f t="shared" si="0"/>
        <v>COMPRAR</v>
      </c>
      <c r="F34" s="25" t="s">
        <v>66</v>
      </c>
      <c r="G34" s="25" t="b">
        <v>0</v>
      </c>
    </row>
    <row r="35" spans="2:7" ht="15" thickBot="1" x14ac:dyDescent="0.35">
      <c r="B35" s="67">
        <v>33</v>
      </c>
      <c r="C35" s="68" t="s">
        <v>95</v>
      </c>
      <c r="D35" s="71">
        <v>1850</v>
      </c>
      <c r="E35" s="78" t="str">
        <f t="shared" si="0"/>
        <v>OK</v>
      </c>
      <c r="F35" s="25" t="s">
        <v>62</v>
      </c>
      <c r="G35" s="25" t="b">
        <v>0</v>
      </c>
    </row>
    <row r="36" spans="2:7" ht="15" thickBot="1" x14ac:dyDescent="0.35">
      <c r="B36" s="67">
        <v>34</v>
      </c>
      <c r="C36" s="68" t="s">
        <v>96</v>
      </c>
      <c r="D36" s="71">
        <v>350</v>
      </c>
      <c r="E36" s="78" t="str">
        <f t="shared" si="0"/>
        <v>COMPRAR</v>
      </c>
      <c r="F36" s="25" t="s">
        <v>66</v>
      </c>
      <c r="G36" s="25" t="b">
        <v>0</v>
      </c>
    </row>
    <row r="37" spans="2:7" ht="15" thickBot="1" x14ac:dyDescent="0.35">
      <c r="B37" s="67">
        <v>35</v>
      </c>
      <c r="C37" s="68" t="s">
        <v>97</v>
      </c>
      <c r="D37" s="71">
        <v>2366</v>
      </c>
      <c r="E37" s="78" t="str">
        <f t="shared" si="0"/>
        <v>OK</v>
      </c>
      <c r="F37" s="25" t="s">
        <v>62</v>
      </c>
      <c r="G37" s="25" t="b">
        <v>0</v>
      </c>
    </row>
    <row r="38" spans="2:7" ht="15" thickBot="1" x14ac:dyDescent="0.35">
      <c r="B38" s="67">
        <v>36</v>
      </c>
      <c r="C38" s="68" t="s">
        <v>98</v>
      </c>
      <c r="D38" s="71">
        <v>1500</v>
      </c>
      <c r="E38" s="78" t="str">
        <f t="shared" si="0"/>
        <v>OK</v>
      </c>
      <c r="F38" s="25" t="s">
        <v>62</v>
      </c>
      <c r="G38" s="25" t="b">
        <v>0</v>
      </c>
    </row>
    <row r="39" spans="2:7" ht="15" thickBot="1" x14ac:dyDescent="0.35">
      <c r="B39" s="67">
        <v>37</v>
      </c>
      <c r="C39" s="68" t="s">
        <v>99</v>
      </c>
      <c r="D39" s="71">
        <v>44</v>
      </c>
      <c r="E39" s="78" t="str">
        <f t="shared" si="0"/>
        <v>COMPRAR</v>
      </c>
      <c r="F39" s="25" t="s">
        <v>66</v>
      </c>
      <c r="G39" s="25" t="b">
        <v>0</v>
      </c>
    </row>
    <row r="40" spans="2:7" ht="15" thickBot="1" x14ac:dyDescent="0.35">
      <c r="B40" s="67">
        <v>38</v>
      </c>
      <c r="C40" s="68" t="s">
        <v>100</v>
      </c>
      <c r="D40" s="71">
        <v>340</v>
      </c>
      <c r="E40" s="78" t="str">
        <f t="shared" si="0"/>
        <v>COMPRAR</v>
      </c>
      <c r="F40" s="25" t="s">
        <v>66</v>
      </c>
      <c r="G40" s="25" t="b">
        <v>0</v>
      </c>
    </row>
    <row r="41" spans="2:7" ht="15" thickBot="1" x14ac:dyDescent="0.35">
      <c r="B41" s="67">
        <v>39</v>
      </c>
      <c r="C41" s="68" t="s">
        <v>101</v>
      </c>
      <c r="D41" s="71">
        <v>2480</v>
      </c>
      <c r="E41" s="78" t="str">
        <f t="shared" si="0"/>
        <v>OK</v>
      </c>
      <c r="F41" s="25" t="s">
        <v>62</v>
      </c>
      <c r="G41" s="25" t="b">
        <v>0</v>
      </c>
    </row>
    <row r="42" spans="2:7" ht="15" thickBot="1" x14ac:dyDescent="0.35">
      <c r="B42" s="67">
        <v>40</v>
      </c>
      <c r="C42" s="68" t="s">
        <v>102</v>
      </c>
      <c r="D42" s="71">
        <v>2</v>
      </c>
      <c r="E42" s="78" t="str">
        <f t="shared" si="0"/>
        <v>COMPRAR</v>
      </c>
      <c r="F42" s="25" t="s">
        <v>66</v>
      </c>
      <c r="G42" s="25" t="b">
        <v>0</v>
      </c>
    </row>
    <row r="43" spans="2:7" ht="15" thickBot="1" x14ac:dyDescent="0.35">
      <c r="B43" s="67">
        <v>41</v>
      </c>
      <c r="C43" s="68" t="s">
        <v>103</v>
      </c>
      <c r="D43" s="71">
        <v>1650</v>
      </c>
      <c r="E43" s="78" t="str">
        <f t="shared" si="0"/>
        <v>OK</v>
      </c>
      <c r="F43" s="25" t="s">
        <v>62</v>
      </c>
      <c r="G43" s="25" t="b">
        <v>0</v>
      </c>
    </row>
    <row r="44" spans="2:7" ht="15" thickBot="1" x14ac:dyDescent="0.35">
      <c r="B44" s="67">
        <v>42</v>
      </c>
      <c r="C44" s="68" t="s">
        <v>104</v>
      </c>
      <c r="D44" s="71">
        <v>450</v>
      </c>
      <c r="E44" s="78" t="str">
        <f t="shared" si="0"/>
        <v>COMPRAR</v>
      </c>
      <c r="F44" s="25" t="s">
        <v>66</v>
      </c>
      <c r="G44" s="25" t="b">
        <v>0</v>
      </c>
    </row>
    <row r="45" spans="2:7" ht="15" thickBot="1" x14ac:dyDescent="0.35">
      <c r="B45" s="67">
        <v>43</v>
      </c>
      <c r="C45" s="68" t="s">
        <v>105</v>
      </c>
      <c r="D45" s="71">
        <v>1700</v>
      </c>
      <c r="E45" s="78" t="str">
        <f t="shared" si="0"/>
        <v>OK</v>
      </c>
      <c r="F45" s="25" t="s">
        <v>62</v>
      </c>
      <c r="G45" s="25" t="b">
        <v>0</v>
      </c>
    </row>
    <row r="46" spans="2:7" ht="15" thickBot="1" x14ac:dyDescent="0.35">
      <c r="B46" s="67">
        <v>44</v>
      </c>
      <c r="C46" s="68" t="s">
        <v>106</v>
      </c>
      <c r="D46" s="71">
        <v>400</v>
      </c>
      <c r="E46" s="78" t="str">
        <f t="shared" si="0"/>
        <v>COMPRAR</v>
      </c>
      <c r="F46" s="25" t="s">
        <v>66</v>
      </c>
      <c r="G46" s="25" t="b">
        <v>0</v>
      </c>
    </row>
    <row r="47" spans="2:7" ht="15" thickBot="1" x14ac:dyDescent="0.35">
      <c r="B47" s="67">
        <v>45</v>
      </c>
      <c r="C47" s="68" t="s">
        <v>107</v>
      </c>
      <c r="D47" s="71">
        <v>200</v>
      </c>
      <c r="E47" s="78" t="str">
        <f t="shared" si="0"/>
        <v>COMPRAR</v>
      </c>
      <c r="F47" s="25" t="s">
        <v>66</v>
      </c>
      <c r="G47" s="25" t="b">
        <v>0</v>
      </c>
    </row>
    <row r="48" spans="2:7" ht="15" thickBot="1" x14ac:dyDescent="0.35">
      <c r="B48" s="67">
        <v>46</v>
      </c>
      <c r="C48" s="68" t="s">
        <v>108</v>
      </c>
      <c r="D48" s="71">
        <v>1800</v>
      </c>
      <c r="E48" s="78" t="str">
        <f t="shared" si="0"/>
        <v>OK</v>
      </c>
      <c r="F48" s="25" t="s">
        <v>62</v>
      </c>
      <c r="G48" s="25" t="b">
        <v>0</v>
      </c>
    </row>
    <row r="49" spans="2:7" ht="15" thickBot="1" x14ac:dyDescent="0.35">
      <c r="B49" s="67">
        <v>47</v>
      </c>
      <c r="C49" s="68" t="s">
        <v>109</v>
      </c>
      <c r="D49" s="71">
        <v>1850</v>
      </c>
      <c r="E49" s="78" t="str">
        <f t="shared" si="0"/>
        <v>OK</v>
      </c>
      <c r="F49" s="25" t="s">
        <v>62</v>
      </c>
      <c r="G49" s="25" t="b">
        <v>0</v>
      </c>
    </row>
    <row r="50" spans="2:7" ht="15" thickBot="1" x14ac:dyDescent="0.35">
      <c r="B50" s="67">
        <v>48</v>
      </c>
      <c r="C50" s="68" t="s">
        <v>110</v>
      </c>
      <c r="D50" s="71">
        <v>342</v>
      </c>
      <c r="E50" s="78" t="str">
        <f t="shared" si="0"/>
        <v>COMPRAR</v>
      </c>
      <c r="F50" s="25" t="s">
        <v>66</v>
      </c>
      <c r="G50" s="25" t="b">
        <v>0</v>
      </c>
    </row>
    <row r="51" spans="2:7" ht="15" thickBot="1" x14ac:dyDescent="0.35">
      <c r="B51" s="67">
        <v>49</v>
      </c>
      <c r="C51" s="68" t="s">
        <v>111</v>
      </c>
      <c r="D51" s="71">
        <v>2</v>
      </c>
      <c r="E51" s="78" t="str">
        <f t="shared" si="0"/>
        <v>COMPRAR</v>
      </c>
      <c r="F51" s="25" t="s">
        <v>66</v>
      </c>
      <c r="G51" s="25" t="b">
        <v>0</v>
      </c>
    </row>
    <row r="52" spans="2:7" ht="15" thickBot="1" x14ac:dyDescent="0.35">
      <c r="B52" s="67">
        <v>50</v>
      </c>
      <c r="C52" s="68" t="s">
        <v>112</v>
      </c>
      <c r="D52" s="71">
        <v>1700</v>
      </c>
      <c r="E52" s="78" t="str">
        <f t="shared" si="0"/>
        <v>OK</v>
      </c>
      <c r="F52" s="25" t="s">
        <v>62</v>
      </c>
      <c r="G52" s="25" t="b">
        <v>0</v>
      </c>
    </row>
    <row r="53" spans="2:7" ht="15" thickBot="1" x14ac:dyDescent="0.35">
      <c r="B53" s="67">
        <v>51</v>
      </c>
      <c r="C53" s="68" t="s">
        <v>113</v>
      </c>
      <c r="D53" s="71">
        <v>1850</v>
      </c>
      <c r="E53" s="78" t="str">
        <f t="shared" si="0"/>
        <v>OK</v>
      </c>
      <c r="F53" s="25" t="s">
        <v>62</v>
      </c>
      <c r="G53" s="25" t="b">
        <v>0</v>
      </c>
    </row>
    <row r="54" spans="2:7" ht="15" thickBot="1" x14ac:dyDescent="0.35">
      <c r="B54" s="67">
        <v>52</v>
      </c>
      <c r="C54" s="68" t="s">
        <v>114</v>
      </c>
      <c r="D54" s="71">
        <v>300</v>
      </c>
      <c r="E54" s="78" t="str">
        <f t="shared" si="0"/>
        <v>COMPRAR</v>
      </c>
      <c r="F54" s="25" t="s">
        <v>66</v>
      </c>
      <c r="G54" s="25" t="b">
        <v>0</v>
      </c>
    </row>
    <row r="55" spans="2:7" ht="15" thickBot="1" x14ac:dyDescent="0.35">
      <c r="B55" s="67">
        <v>53</v>
      </c>
      <c r="C55" s="68" t="s">
        <v>115</v>
      </c>
      <c r="D55" s="71">
        <v>1900</v>
      </c>
      <c r="E55" s="78" t="str">
        <f t="shared" si="0"/>
        <v>OK</v>
      </c>
      <c r="F55" s="25" t="s">
        <v>62</v>
      </c>
      <c r="G55" s="25" t="b">
        <v>0</v>
      </c>
    </row>
    <row r="56" spans="2:7" ht="15" thickBot="1" x14ac:dyDescent="0.35">
      <c r="B56" s="67">
        <v>54</v>
      </c>
      <c r="C56" s="68" t="s">
        <v>116</v>
      </c>
      <c r="D56" s="71">
        <v>1700</v>
      </c>
      <c r="E56" s="78" t="str">
        <f t="shared" si="0"/>
        <v>OK</v>
      </c>
      <c r="F56" s="25" t="s">
        <v>62</v>
      </c>
      <c r="G56" s="25" t="b">
        <v>0</v>
      </c>
    </row>
    <row r="57" spans="2:7" ht="15" thickBot="1" x14ac:dyDescent="0.35">
      <c r="B57" s="67">
        <v>55</v>
      </c>
      <c r="C57" s="68" t="s">
        <v>117</v>
      </c>
      <c r="D57" s="71">
        <v>2468</v>
      </c>
      <c r="E57" s="78" t="str">
        <f t="shared" si="0"/>
        <v>OK</v>
      </c>
      <c r="F57" s="25" t="s">
        <v>62</v>
      </c>
      <c r="G57" s="25" t="b">
        <v>0</v>
      </c>
    </row>
    <row r="58" spans="2:7" ht="15" thickBot="1" x14ac:dyDescent="0.35">
      <c r="B58" s="67">
        <v>56</v>
      </c>
      <c r="C58" s="68" t="s">
        <v>118</v>
      </c>
      <c r="D58" s="71">
        <v>1750</v>
      </c>
      <c r="E58" s="78" t="str">
        <f t="shared" si="0"/>
        <v>OK</v>
      </c>
      <c r="F58" s="25" t="s">
        <v>62</v>
      </c>
      <c r="G58" s="25" t="b">
        <v>0</v>
      </c>
    </row>
    <row r="59" spans="2:7" ht="15" thickBot="1" x14ac:dyDescent="0.35">
      <c r="B59" s="67">
        <v>57</v>
      </c>
      <c r="C59" s="68" t="s">
        <v>119</v>
      </c>
      <c r="D59" s="71">
        <v>2360</v>
      </c>
      <c r="E59" s="78" t="str">
        <f t="shared" si="0"/>
        <v>OK</v>
      </c>
      <c r="F59" s="25" t="s">
        <v>62</v>
      </c>
      <c r="G59" s="25" t="b">
        <v>0</v>
      </c>
    </row>
    <row r="60" spans="2:7" ht="15" thickBot="1" x14ac:dyDescent="0.35">
      <c r="B60" s="67">
        <v>58</v>
      </c>
      <c r="C60" s="68" t="s">
        <v>120</v>
      </c>
      <c r="D60" s="71">
        <v>1950</v>
      </c>
      <c r="E60" s="78" t="str">
        <f t="shared" si="0"/>
        <v>OK</v>
      </c>
      <c r="F60" s="25" t="s">
        <v>62</v>
      </c>
      <c r="G60" s="25" t="b">
        <v>0</v>
      </c>
    </row>
    <row r="61" spans="2:7" ht="15" thickBot="1" x14ac:dyDescent="0.35">
      <c r="B61" s="67">
        <v>59</v>
      </c>
      <c r="C61" s="68" t="s">
        <v>121</v>
      </c>
      <c r="D61" s="71">
        <v>1800</v>
      </c>
      <c r="E61" s="78" t="str">
        <f t="shared" si="0"/>
        <v>OK</v>
      </c>
      <c r="F61" s="25" t="s">
        <v>62</v>
      </c>
      <c r="G61" s="25" t="b">
        <v>0</v>
      </c>
    </row>
    <row r="62" spans="2:7" ht="15" thickBot="1" x14ac:dyDescent="0.35">
      <c r="B62" s="67">
        <v>60</v>
      </c>
      <c r="C62" s="68" t="s">
        <v>122</v>
      </c>
      <c r="D62" s="71">
        <v>2456</v>
      </c>
      <c r="E62" s="78" t="str">
        <f t="shared" si="0"/>
        <v>OK</v>
      </c>
      <c r="F62" s="25" t="s">
        <v>62</v>
      </c>
      <c r="G62" s="25" t="b">
        <v>0</v>
      </c>
    </row>
    <row r="63" spans="2:7" ht="15" thickBot="1" x14ac:dyDescent="0.35">
      <c r="B63" s="67">
        <v>61</v>
      </c>
      <c r="C63" s="68" t="s">
        <v>123</v>
      </c>
      <c r="D63" s="71">
        <v>2558</v>
      </c>
      <c r="E63" s="78" t="str">
        <f t="shared" si="0"/>
        <v>OK</v>
      </c>
      <c r="F63" s="25" t="s">
        <v>62</v>
      </c>
      <c r="G63" s="25" t="b">
        <v>0</v>
      </c>
    </row>
    <row r="64" spans="2:7" ht="15" thickBot="1" x14ac:dyDescent="0.35">
      <c r="B64" s="67">
        <v>62</v>
      </c>
      <c r="C64" s="68" t="s">
        <v>124</v>
      </c>
      <c r="D64" s="71">
        <v>8</v>
      </c>
      <c r="E64" s="78" t="str">
        <f t="shared" si="0"/>
        <v>COMPRAR</v>
      </c>
      <c r="F64" s="25" t="s">
        <v>66</v>
      </c>
      <c r="G64" s="25" t="b">
        <v>0</v>
      </c>
    </row>
    <row r="65" spans="2:7" ht="15" thickBot="1" x14ac:dyDescent="0.35">
      <c r="B65" s="67">
        <v>63</v>
      </c>
      <c r="C65" s="68" t="s">
        <v>125</v>
      </c>
      <c r="D65" s="71">
        <v>1900</v>
      </c>
      <c r="E65" s="78" t="str">
        <f t="shared" si="0"/>
        <v>OK</v>
      </c>
      <c r="F65" s="25" t="s">
        <v>62</v>
      </c>
      <c r="G65" s="25" t="b">
        <v>0</v>
      </c>
    </row>
    <row r="66" spans="2:7" ht="15" thickBot="1" x14ac:dyDescent="0.35">
      <c r="B66" s="67">
        <v>64</v>
      </c>
      <c r="C66" s="68" t="s">
        <v>126</v>
      </c>
      <c r="D66" s="71">
        <v>1600</v>
      </c>
      <c r="E66" s="78" t="str">
        <f t="shared" si="0"/>
        <v>OK</v>
      </c>
      <c r="F66" s="25" t="s">
        <v>62</v>
      </c>
      <c r="G66" s="25" t="b">
        <v>0</v>
      </c>
    </row>
    <row r="67" spans="2:7" ht="15" thickBot="1" x14ac:dyDescent="0.35">
      <c r="B67" s="67">
        <v>65</v>
      </c>
      <c r="C67" s="68" t="s">
        <v>127</v>
      </c>
      <c r="D67" s="71">
        <v>350</v>
      </c>
      <c r="E67" s="78" t="str">
        <f t="shared" si="0"/>
        <v>COMPRAR</v>
      </c>
      <c r="F67" s="25" t="s">
        <v>66</v>
      </c>
      <c r="G67" s="25" t="b">
        <v>0</v>
      </c>
    </row>
    <row r="68" spans="2:7" ht="15" thickBot="1" x14ac:dyDescent="0.35">
      <c r="B68" s="67">
        <v>66</v>
      </c>
      <c r="C68" s="68" t="s">
        <v>128</v>
      </c>
      <c r="D68" s="71">
        <v>1900</v>
      </c>
      <c r="E68" s="78" t="str">
        <f t="shared" ref="E68:E79" si="1">+IF(D68&lt;1000,"COMPRAR","OK")</f>
        <v>OK</v>
      </c>
      <c r="F68" s="25" t="s">
        <v>62</v>
      </c>
      <c r="G68" s="25" t="b">
        <v>0</v>
      </c>
    </row>
    <row r="69" spans="2:7" ht="15" thickBot="1" x14ac:dyDescent="0.35">
      <c r="B69" s="67">
        <v>67</v>
      </c>
      <c r="C69" s="68" t="s">
        <v>129</v>
      </c>
      <c r="D69" s="71">
        <v>1750</v>
      </c>
      <c r="E69" s="78" t="str">
        <f t="shared" si="1"/>
        <v>OK</v>
      </c>
      <c r="F69" s="25" t="s">
        <v>62</v>
      </c>
      <c r="G69" s="25" t="b">
        <v>0</v>
      </c>
    </row>
    <row r="70" spans="2:7" ht="15" thickBot="1" x14ac:dyDescent="0.35">
      <c r="B70" s="67">
        <v>68</v>
      </c>
      <c r="C70" s="68" t="s">
        <v>130</v>
      </c>
      <c r="D70" s="71">
        <v>2360</v>
      </c>
      <c r="E70" s="78" t="str">
        <f t="shared" si="1"/>
        <v>OK</v>
      </c>
      <c r="F70" s="25" t="s">
        <v>62</v>
      </c>
      <c r="G70" s="25" t="b">
        <v>0</v>
      </c>
    </row>
    <row r="71" spans="2:7" ht="15" thickBot="1" x14ac:dyDescent="0.35">
      <c r="B71" s="67">
        <v>69</v>
      </c>
      <c r="C71" s="68" t="s">
        <v>131</v>
      </c>
      <c r="D71" s="71">
        <v>250</v>
      </c>
      <c r="E71" s="78" t="str">
        <f t="shared" si="1"/>
        <v>COMPRAR</v>
      </c>
      <c r="F71" s="25" t="s">
        <v>66</v>
      </c>
      <c r="G71" s="25" t="b">
        <v>0</v>
      </c>
    </row>
    <row r="72" spans="2:7" ht="15" thickBot="1" x14ac:dyDescent="0.35">
      <c r="B72" s="67">
        <v>70</v>
      </c>
      <c r="C72" s="68" t="s">
        <v>132</v>
      </c>
      <c r="D72" s="71">
        <v>2486</v>
      </c>
      <c r="E72" s="78" t="str">
        <f t="shared" si="1"/>
        <v>OK</v>
      </c>
      <c r="F72" s="25" t="s">
        <v>62</v>
      </c>
      <c r="G72" s="25" t="b">
        <v>0</v>
      </c>
    </row>
    <row r="73" spans="2:7" ht="15" thickBot="1" x14ac:dyDescent="0.35">
      <c r="B73" s="67">
        <v>71</v>
      </c>
      <c r="C73" s="68" t="s">
        <v>133</v>
      </c>
      <c r="D73" s="71">
        <v>2348</v>
      </c>
      <c r="E73" s="78" t="str">
        <f t="shared" si="1"/>
        <v>OK</v>
      </c>
      <c r="F73" s="25" t="s">
        <v>62</v>
      </c>
      <c r="G73" s="25" t="b">
        <v>0</v>
      </c>
    </row>
    <row r="74" spans="2:7" ht="15" thickBot="1" x14ac:dyDescent="0.35">
      <c r="B74" s="67">
        <v>72</v>
      </c>
      <c r="C74" s="68" t="s">
        <v>134</v>
      </c>
      <c r="D74" s="71">
        <v>2570</v>
      </c>
      <c r="E74" s="78" t="str">
        <f t="shared" si="1"/>
        <v>OK</v>
      </c>
      <c r="F74" s="25" t="s">
        <v>62</v>
      </c>
      <c r="G74" s="25" t="b">
        <v>0</v>
      </c>
    </row>
    <row r="75" spans="2:7" ht="15" thickBot="1" x14ac:dyDescent="0.35">
      <c r="B75" s="67">
        <v>73</v>
      </c>
      <c r="C75" s="68" t="s">
        <v>135</v>
      </c>
      <c r="D75" s="71">
        <v>300</v>
      </c>
      <c r="E75" s="78" t="str">
        <f t="shared" si="1"/>
        <v>COMPRAR</v>
      </c>
      <c r="F75" s="25" t="s">
        <v>66</v>
      </c>
      <c r="G75" s="25" t="b">
        <v>0</v>
      </c>
    </row>
    <row r="76" spans="2:7" ht="15" thickBot="1" x14ac:dyDescent="0.35">
      <c r="B76" s="67">
        <v>74</v>
      </c>
      <c r="C76" s="68" t="s">
        <v>136</v>
      </c>
      <c r="D76" s="71">
        <v>300</v>
      </c>
      <c r="E76" s="78" t="str">
        <f t="shared" si="1"/>
        <v>COMPRAR</v>
      </c>
      <c r="F76" s="25" t="s">
        <v>66</v>
      </c>
      <c r="G76" s="25" t="b">
        <v>0</v>
      </c>
    </row>
    <row r="77" spans="2:7" ht="15" thickBot="1" x14ac:dyDescent="0.35">
      <c r="B77" s="67">
        <v>75</v>
      </c>
      <c r="C77" s="68" t="s">
        <v>137</v>
      </c>
      <c r="D77" s="71">
        <v>2576</v>
      </c>
      <c r="E77" s="78" t="str">
        <f t="shared" si="1"/>
        <v>OK</v>
      </c>
      <c r="F77" s="25" t="s">
        <v>62</v>
      </c>
      <c r="G77" s="25" t="b">
        <v>0</v>
      </c>
    </row>
    <row r="78" spans="2:7" ht="15" thickBot="1" x14ac:dyDescent="0.35">
      <c r="B78" s="67">
        <v>76</v>
      </c>
      <c r="C78" s="68" t="s">
        <v>138</v>
      </c>
      <c r="D78" s="71">
        <v>200</v>
      </c>
      <c r="E78" s="78" t="str">
        <f t="shared" si="1"/>
        <v>COMPRAR</v>
      </c>
      <c r="F78" s="25" t="s">
        <v>66</v>
      </c>
      <c r="G78" s="25" t="b">
        <v>0</v>
      </c>
    </row>
    <row r="79" spans="2:7" ht="15" thickBot="1" x14ac:dyDescent="0.35">
      <c r="B79" s="69">
        <v>77</v>
      </c>
      <c r="C79" s="70" t="s">
        <v>139</v>
      </c>
      <c r="D79" s="72">
        <v>1950</v>
      </c>
      <c r="E79" s="78" t="str">
        <f t="shared" si="1"/>
        <v>OK</v>
      </c>
      <c r="F79" s="25" t="s">
        <v>62</v>
      </c>
      <c r="G79" s="25" t="b">
        <v>0</v>
      </c>
    </row>
    <row r="82" spans="3:3" ht="30" x14ac:dyDescent="0.5">
      <c r="C82" s="31" t="s">
        <v>14</v>
      </c>
    </row>
  </sheetData>
  <conditionalFormatting sqref="E3:E79">
    <cfRule type="cellIs" dxfId="0" priority="1" operator="equal">
      <formula>"COMPRAR"</formula>
    </cfRule>
  </conditionalFormatting>
  <pageMargins left="0.7" right="0.7" top="0.75" bottom="0.75" header="0.3" footer="0.3"/>
  <ignoredErrors>
    <ignoredError sqref="E3:E6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>
      <selection activeCell="H14" sqref="H14"/>
    </sheetView>
  </sheetViews>
  <sheetFormatPr baseColWidth="10" defaultRowHeight="14.4" x14ac:dyDescent="0.3"/>
  <cols>
    <col min="2" max="2" width="29.109375" customWidth="1"/>
    <col min="4" max="4" width="20.33203125" customWidth="1"/>
  </cols>
  <sheetData>
    <row r="1" spans="1:10" ht="15" thickBot="1" x14ac:dyDescent="0.35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  <c r="J1" s="25"/>
    </row>
    <row r="2" spans="1:10" ht="15" thickBot="1" x14ac:dyDescent="0.35">
      <c r="A2" s="1"/>
      <c r="B2" s="138" t="s">
        <v>30</v>
      </c>
      <c r="C2" s="139"/>
      <c r="D2" s="139"/>
      <c r="E2" s="139"/>
      <c r="F2" s="139"/>
      <c r="G2" s="139"/>
      <c r="H2" s="140"/>
      <c r="I2" s="1"/>
      <c r="J2" s="1"/>
    </row>
    <row r="3" spans="1:10" ht="15" thickBot="1" x14ac:dyDescent="0.35">
      <c r="A3" s="1"/>
      <c r="B3" s="44"/>
      <c r="C3" s="44"/>
      <c r="D3" s="44"/>
      <c r="E3" s="44"/>
      <c r="F3" s="44"/>
      <c r="G3" s="44"/>
      <c r="H3" s="44"/>
      <c r="I3" s="1"/>
      <c r="J3" s="1"/>
    </row>
    <row r="4" spans="1:10" x14ac:dyDescent="0.3">
      <c r="A4" s="1"/>
      <c r="B4" s="79" t="s">
        <v>31</v>
      </c>
      <c r="C4" s="80" t="s">
        <v>32</v>
      </c>
      <c r="D4" s="80" t="s">
        <v>33</v>
      </c>
      <c r="E4" s="80" t="s">
        <v>34</v>
      </c>
      <c r="F4" s="80" t="s">
        <v>36</v>
      </c>
      <c r="G4" s="80" t="s">
        <v>140</v>
      </c>
      <c r="H4" s="81" t="s">
        <v>141</v>
      </c>
      <c r="I4" s="1"/>
      <c r="J4" s="1"/>
    </row>
    <row r="5" spans="1:10" x14ac:dyDescent="0.3">
      <c r="A5" s="1"/>
      <c r="B5" s="82" t="s">
        <v>37</v>
      </c>
      <c r="C5" s="83">
        <v>25</v>
      </c>
      <c r="D5" s="84" t="s">
        <v>38</v>
      </c>
      <c r="E5" s="91" t="s">
        <v>39</v>
      </c>
      <c r="F5" s="46">
        <v>1</v>
      </c>
      <c r="G5" s="88">
        <v>250000</v>
      </c>
      <c r="H5" s="90">
        <f>+IF(E5=$E$8,5%*G5,0)</f>
        <v>0</v>
      </c>
      <c r="I5" s="25">
        <v>0</v>
      </c>
      <c r="J5" s="25" t="b">
        <v>1</v>
      </c>
    </row>
    <row r="6" spans="1:10" x14ac:dyDescent="0.3">
      <c r="A6" s="1"/>
      <c r="B6" s="82" t="s">
        <v>41</v>
      </c>
      <c r="C6" s="83">
        <v>30</v>
      </c>
      <c r="D6" s="84" t="s">
        <v>42</v>
      </c>
      <c r="E6" s="91" t="s">
        <v>43</v>
      </c>
      <c r="F6" s="46">
        <v>2</v>
      </c>
      <c r="G6" s="88">
        <v>180000</v>
      </c>
      <c r="H6" s="90">
        <f t="shared" ref="H6:H14" si="0">+IF(E6=$E$8,5%*G6,0)</f>
        <v>0</v>
      </c>
      <c r="I6" s="25">
        <v>0</v>
      </c>
      <c r="J6" s="25" t="b">
        <v>1</v>
      </c>
    </row>
    <row r="7" spans="1:10" x14ac:dyDescent="0.3">
      <c r="A7" s="1"/>
      <c r="B7" s="82" t="s">
        <v>45</v>
      </c>
      <c r="C7" s="83">
        <v>42</v>
      </c>
      <c r="D7" s="84" t="s">
        <v>46</v>
      </c>
      <c r="E7" s="91" t="s">
        <v>43</v>
      </c>
      <c r="F7" s="46">
        <v>3</v>
      </c>
      <c r="G7" s="88">
        <v>180000</v>
      </c>
      <c r="H7" s="90">
        <f t="shared" si="0"/>
        <v>0</v>
      </c>
      <c r="I7" s="25">
        <v>0</v>
      </c>
      <c r="J7" s="25" t="b">
        <v>1</v>
      </c>
    </row>
    <row r="8" spans="1:10" x14ac:dyDescent="0.3">
      <c r="A8" s="1"/>
      <c r="B8" s="82" t="s">
        <v>47</v>
      </c>
      <c r="C8" s="83">
        <v>35</v>
      </c>
      <c r="D8" s="84" t="s">
        <v>48</v>
      </c>
      <c r="E8" s="91" t="s">
        <v>49</v>
      </c>
      <c r="F8" s="46">
        <v>1</v>
      </c>
      <c r="G8" s="88">
        <v>350000</v>
      </c>
      <c r="H8" s="90">
        <f t="shared" si="0"/>
        <v>17500</v>
      </c>
      <c r="I8" s="25">
        <v>17500</v>
      </c>
      <c r="J8" s="25" t="b">
        <v>0</v>
      </c>
    </row>
    <row r="9" spans="1:10" x14ac:dyDescent="0.3">
      <c r="A9" s="1"/>
      <c r="B9" s="82" t="s">
        <v>50</v>
      </c>
      <c r="C9" s="83">
        <v>23</v>
      </c>
      <c r="D9" s="84" t="s">
        <v>42</v>
      </c>
      <c r="E9" s="91" t="s">
        <v>39</v>
      </c>
      <c r="F9" s="46">
        <v>1</v>
      </c>
      <c r="G9" s="88">
        <v>250000</v>
      </c>
      <c r="H9" s="90">
        <f t="shared" si="0"/>
        <v>0</v>
      </c>
      <c r="I9" s="25">
        <v>0</v>
      </c>
      <c r="J9" s="25" t="b">
        <v>1</v>
      </c>
    </row>
    <row r="10" spans="1:10" x14ac:dyDescent="0.3">
      <c r="A10" s="1"/>
      <c r="B10" s="82" t="s">
        <v>51</v>
      </c>
      <c r="C10" s="83">
        <v>20</v>
      </c>
      <c r="D10" s="84" t="s">
        <v>52</v>
      </c>
      <c r="E10" s="91" t="s">
        <v>43</v>
      </c>
      <c r="F10" s="46">
        <v>1</v>
      </c>
      <c r="G10" s="88">
        <v>180000</v>
      </c>
      <c r="H10" s="90">
        <f t="shared" si="0"/>
        <v>0</v>
      </c>
      <c r="I10" s="25">
        <v>0</v>
      </c>
      <c r="J10" s="25" t="b">
        <v>1</v>
      </c>
    </row>
    <row r="11" spans="1:10" x14ac:dyDescent="0.3">
      <c r="A11" s="1"/>
      <c r="B11" s="82" t="s">
        <v>53</v>
      </c>
      <c r="C11" s="83">
        <v>36</v>
      </c>
      <c r="D11" s="84" t="s">
        <v>38</v>
      </c>
      <c r="E11" s="91" t="s">
        <v>39</v>
      </c>
      <c r="F11" s="46">
        <v>1</v>
      </c>
      <c r="G11" s="88">
        <v>250000</v>
      </c>
      <c r="H11" s="90">
        <f t="shared" si="0"/>
        <v>0</v>
      </c>
      <c r="I11" s="25">
        <v>0</v>
      </c>
      <c r="J11" s="25" t="b">
        <v>1</v>
      </c>
    </row>
    <row r="12" spans="1:10" x14ac:dyDescent="0.3">
      <c r="A12" s="1"/>
      <c r="B12" s="82" t="s">
        <v>54</v>
      </c>
      <c r="C12" s="83">
        <v>40</v>
      </c>
      <c r="D12" s="84" t="s">
        <v>42</v>
      </c>
      <c r="E12" s="91" t="s">
        <v>43</v>
      </c>
      <c r="F12" s="46">
        <v>1</v>
      </c>
      <c r="G12" s="88">
        <v>180000</v>
      </c>
      <c r="H12" s="90">
        <f t="shared" si="0"/>
        <v>0</v>
      </c>
      <c r="I12" s="25">
        <v>0</v>
      </c>
      <c r="J12" s="25" t="b">
        <v>1</v>
      </c>
    </row>
    <row r="13" spans="1:10" x14ac:dyDescent="0.3">
      <c r="A13" s="1"/>
      <c r="B13" s="82" t="s">
        <v>55</v>
      </c>
      <c r="C13" s="83">
        <v>45</v>
      </c>
      <c r="D13" s="84" t="s">
        <v>48</v>
      </c>
      <c r="E13" s="91" t="s">
        <v>49</v>
      </c>
      <c r="F13" s="46">
        <v>3</v>
      </c>
      <c r="G13" s="88">
        <v>350000</v>
      </c>
      <c r="H13" s="90">
        <f t="shared" si="0"/>
        <v>17500</v>
      </c>
      <c r="I13" s="25">
        <v>17500</v>
      </c>
      <c r="J13" s="25" t="b">
        <v>0</v>
      </c>
    </row>
    <row r="14" spans="1:10" ht="15" thickBot="1" x14ac:dyDescent="0.35">
      <c r="A14" s="1"/>
      <c r="B14" s="85" t="s">
        <v>56</v>
      </c>
      <c r="C14" s="86">
        <v>28</v>
      </c>
      <c r="D14" s="87" t="s">
        <v>46</v>
      </c>
      <c r="E14" s="92" t="s">
        <v>39</v>
      </c>
      <c r="F14" s="47">
        <v>3</v>
      </c>
      <c r="G14" s="89">
        <v>250000</v>
      </c>
      <c r="H14" s="90">
        <f t="shared" si="0"/>
        <v>0</v>
      </c>
      <c r="I14" s="25">
        <v>0</v>
      </c>
      <c r="J14" s="25" t="b">
        <v>1</v>
      </c>
    </row>
    <row r="15" spans="1:10" x14ac:dyDescent="0.3">
      <c r="A15" s="1"/>
      <c r="B15" s="44"/>
      <c r="C15" s="45"/>
      <c r="D15" s="44"/>
      <c r="E15" s="45"/>
      <c r="F15" s="45"/>
      <c r="G15" s="44"/>
      <c r="H15" s="44"/>
      <c r="I15" s="1"/>
      <c r="J15" s="1"/>
    </row>
    <row r="16" spans="1:10" x14ac:dyDescent="0.3">
      <c r="A16" s="1"/>
      <c r="B16" s="44"/>
      <c r="C16" s="45"/>
      <c r="D16" s="44"/>
      <c r="E16" s="45"/>
      <c r="F16" s="45"/>
      <c r="G16" s="44"/>
      <c r="H16" s="44"/>
      <c r="I16" s="1"/>
      <c r="J16" s="1"/>
    </row>
    <row r="17" spans="2:8" ht="30" x14ac:dyDescent="0.5">
      <c r="B17" s="31" t="s">
        <v>14</v>
      </c>
      <c r="C17" s="45"/>
      <c r="D17" s="44"/>
      <c r="E17" s="45"/>
      <c r="F17" s="45"/>
      <c r="G17" s="44"/>
      <c r="H17" s="44"/>
    </row>
    <row r="18" spans="2:8" x14ac:dyDescent="0.3">
      <c r="B18" s="44"/>
      <c r="C18" s="45"/>
      <c r="D18" s="44"/>
      <c r="E18" s="45"/>
      <c r="F18" s="45"/>
      <c r="G18" s="44"/>
      <c r="H18" s="44"/>
    </row>
    <row r="19" spans="2:8" x14ac:dyDescent="0.3">
      <c r="B19" s="44"/>
      <c r="C19" s="45"/>
      <c r="D19" s="44"/>
      <c r="E19" s="45"/>
      <c r="F19" s="45"/>
      <c r="G19" s="44"/>
      <c r="H19" s="44"/>
    </row>
    <row r="20" spans="2:8" x14ac:dyDescent="0.3">
      <c r="B20" s="44"/>
      <c r="C20" s="45"/>
      <c r="D20" s="44"/>
      <c r="E20" s="45"/>
      <c r="F20" s="45"/>
      <c r="G20" s="44"/>
      <c r="H20" s="44"/>
    </row>
    <row r="21" spans="2:8" x14ac:dyDescent="0.3">
      <c r="B21" s="44"/>
      <c r="C21" s="45"/>
      <c r="D21" s="44"/>
      <c r="E21" s="45"/>
      <c r="F21" s="45"/>
      <c r="G21" s="44"/>
      <c r="H21" s="44"/>
    </row>
    <row r="22" spans="2:8" x14ac:dyDescent="0.3">
      <c r="B22" s="44"/>
      <c r="C22" s="45"/>
      <c r="D22" s="44"/>
      <c r="E22" s="45"/>
      <c r="F22" s="45"/>
      <c r="G22" s="44"/>
      <c r="H22" s="44"/>
    </row>
    <row r="23" spans="2:8" x14ac:dyDescent="0.3">
      <c r="B23" s="44"/>
      <c r="C23" s="45"/>
      <c r="D23" s="44"/>
      <c r="E23" s="45"/>
      <c r="F23" s="45"/>
      <c r="G23" s="44"/>
      <c r="H23" s="44"/>
    </row>
    <row r="24" spans="2:8" x14ac:dyDescent="0.3">
      <c r="B24" s="44"/>
      <c r="C24" s="45"/>
      <c r="D24" s="44"/>
      <c r="E24" s="45"/>
      <c r="F24" s="45"/>
      <c r="G24" s="44"/>
      <c r="H24" s="44"/>
    </row>
    <row r="25" spans="2:8" x14ac:dyDescent="0.3">
      <c r="B25" s="44"/>
      <c r="C25" s="45"/>
      <c r="D25" s="44"/>
      <c r="E25" s="45"/>
      <c r="F25" s="45"/>
      <c r="G25" s="44"/>
      <c r="H25" s="44"/>
    </row>
    <row r="26" spans="2:8" x14ac:dyDescent="0.3">
      <c r="B26" s="44"/>
      <c r="C26" s="45"/>
      <c r="D26" s="44"/>
      <c r="E26" s="45"/>
      <c r="F26" s="45"/>
      <c r="G26" s="44"/>
      <c r="H26" s="44"/>
    </row>
  </sheetData>
  <mergeCells count="1">
    <mergeCell ref="B2:H2"/>
  </mergeCells>
  <pageMargins left="0.7" right="0.7" top="0.75" bottom="0.75" header="0.3" footer="0.3"/>
  <ignoredErrors>
    <ignoredError sqref="H5:H14" unlocked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>
      <selection activeCell="H4" sqref="H4:H18"/>
    </sheetView>
  </sheetViews>
  <sheetFormatPr baseColWidth="10" defaultRowHeight="14.4" x14ac:dyDescent="0.3"/>
  <cols>
    <col min="2" max="2" width="16.6640625" customWidth="1"/>
    <col min="3" max="3" width="14" customWidth="1"/>
    <col min="4" max="4" width="14.6640625" customWidth="1"/>
    <col min="5" max="5" width="15.109375" customWidth="1"/>
    <col min="6" max="6" width="15.6640625" customWidth="1"/>
    <col min="7" max="7" width="14.44140625" customWidth="1"/>
  </cols>
  <sheetData>
    <row r="1" spans="1:11" x14ac:dyDescent="0.3">
      <c r="A1" s="25" t="b">
        <v>1</v>
      </c>
      <c r="B1" s="25" t="b">
        <v>0</v>
      </c>
      <c r="C1" s="73"/>
      <c r="D1" s="25"/>
      <c r="E1" s="25"/>
      <c r="F1" s="25"/>
      <c r="G1" s="25"/>
      <c r="H1" s="25"/>
      <c r="I1" s="25"/>
      <c r="J1" s="25"/>
      <c r="K1" s="25"/>
    </row>
    <row r="2" spans="1:11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" x14ac:dyDescent="0.3">
      <c r="A3" s="1"/>
      <c r="B3" s="101" t="s">
        <v>142</v>
      </c>
      <c r="C3" s="102" t="s">
        <v>143</v>
      </c>
      <c r="D3" s="103" t="s">
        <v>144</v>
      </c>
      <c r="E3" s="103" t="s">
        <v>145</v>
      </c>
      <c r="F3" s="103" t="s">
        <v>146</v>
      </c>
      <c r="G3" s="103" t="s">
        <v>147</v>
      </c>
      <c r="H3" s="104" t="s">
        <v>148</v>
      </c>
      <c r="I3" s="28"/>
      <c r="J3" s="28"/>
      <c r="K3" s="28"/>
    </row>
    <row r="4" spans="1:11" x14ac:dyDescent="0.3">
      <c r="A4" s="1"/>
      <c r="B4" s="93" t="s">
        <v>149</v>
      </c>
      <c r="C4" s="94">
        <v>1</v>
      </c>
      <c r="D4" s="97">
        <v>1200000</v>
      </c>
      <c r="E4" s="97">
        <v>1700000</v>
      </c>
      <c r="F4" s="100">
        <v>2900000</v>
      </c>
      <c r="G4" s="97">
        <v>150000</v>
      </c>
      <c r="H4" s="98">
        <f>+IF(F4&gt;3000000,20%*G4,10%*G4)</f>
        <v>15000</v>
      </c>
      <c r="I4" s="25">
        <v>15000</v>
      </c>
      <c r="J4" s="25" t="b">
        <v>0</v>
      </c>
      <c r="K4" s="1"/>
    </row>
    <row r="5" spans="1:11" x14ac:dyDescent="0.3">
      <c r="A5" s="1"/>
      <c r="B5" s="93" t="s">
        <v>150</v>
      </c>
      <c r="C5" s="94">
        <v>2</v>
      </c>
      <c r="D5" s="97">
        <v>1500000</v>
      </c>
      <c r="E5" s="97">
        <v>1500100</v>
      </c>
      <c r="F5" s="100">
        <v>3000100</v>
      </c>
      <c r="G5" s="97">
        <v>150000</v>
      </c>
      <c r="H5" s="98">
        <f t="shared" ref="H5:H18" si="0">+IF(F5&gt;3000000,20%*G5,10%*G5)</f>
        <v>30000</v>
      </c>
      <c r="I5" s="25">
        <v>30000</v>
      </c>
      <c r="J5" s="25" t="b">
        <v>0</v>
      </c>
      <c r="K5" s="1"/>
    </row>
    <row r="6" spans="1:11" x14ac:dyDescent="0.3">
      <c r="A6" s="1"/>
      <c r="B6" s="93" t="s">
        <v>151</v>
      </c>
      <c r="C6" s="94">
        <v>1</v>
      </c>
      <c r="D6" s="97">
        <v>930000</v>
      </c>
      <c r="E6" s="97">
        <v>1100000</v>
      </c>
      <c r="F6" s="100">
        <v>2030000</v>
      </c>
      <c r="G6" s="97">
        <v>150000</v>
      </c>
      <c r="H6" s="98">
        <f t="shared" si="0"/>
        <v>15000</v>
      </c>
      <c r="I6" s="25">
        <v>15000</v>
      </c>
      <c r="J6" s="25" t="b">
        <v>0</v>
      </c>
      <c r="K6" s="1"/>
    </row>
    <row r="7" spans="1:11" x14ac:dyDescent="0.3">
      <c r="A7" s="1"/>
      <c r="B7" s="93" t="s">
        <v>152</v>
      </c>
      <c r="C7" s="94">
        <v>3</v>
      </c>
      <c r="D7" s="97">
        <v>1150000</v>
      </c>
      <c r="E7" s="97">
        <v>850000</v>
      </c>
      <c r="F7" s="100">
        <v>2000000</v>
      </c>
      <c r="G7" s="97">
        <v>150000</v>
      </c>
      <c r="H7" s="98">
        <f t="shared" si="0"/>
        <v>15000</v>
      </c>
      <c r="I7" s="25">
        <v>15000</v>
      </c>
      <c r="J7" s="25" t="b">
        <v>0</v>
      </c>
      <c r="K7" s="1"/>
    </row>
    <row r="8" spans="1:11" x14ac:dyDescent="0.3">
      <c r="A8" s="1"/>
      <c r="B8" s="93" t="s">
        <v>153</v>
      </c>
      <c r="C8" s="94">
        <v>2</v>
      </c>
      <c r="D8" s="97">
        <v>1700000</v>
      </c>
      <c r="E8" s="97">
        <v>1600000</v>
      </c>
      <c r="F8" s="100">
        <v>3300000</v>
      </c>
      <c r="G8" s="97">
        <v>150000</v>
      </c>
      <c r="H8" s="98">
        <f t="shared" si="0"/>
        <v>30000</v>
      </c>
      <c r="I8" s="25">
        <v>30000</v>
      </c>
      <c r="J8" s="25" t="b">
        <v>0</v>
      </c>
      <c r="K8" s="1"/>
    </row>
    <row r="9" spans="1:11" x14ac:dyDescent="0.3">
      <c r="A9" s="1"/>
      <c r="B9" s="93" t="s">
        <v>154</v>
      </c>
      <c r="C9" s="94">
        <v>1</v>
      </c>
      <c r="D9" s="97">
        <v>1200000</v>
      </c>
      <c r="E9" s="97">
        <v>1700000</v>
      </c>
      <c r="F9" s="100">
        <v>2900000</v>
      </c>
      <c r="G9" s="97">
        <v>150000</v>
      </c>
      <c r="H9" s="98">
        <f t="shared" si="0"/>
        <v>15000</v>
      </c>
      <c r="I9" s="25">
        <v>15000</v>
      </c>
      <c r="J9" s="25" t="b">
        <v>0</v>
      </c>
      <c r="K9" s="1"/>
    </row>
    <row r="10" spans="1:11" x14ac:dyDescent="0.3">
      <c r="A10" s="1"/>
      <c r="B10" s="93" t="s">
        <v>155</v>
      </c>
      <c r="C10" s="94">
        <v>1</v>
      </c>
      <c r="D10" s="97">
        <v>3000000</v>
      </c>
      <c r="E10" s="97">
        <v>950000</v>
      </c>
      <c r="F10" s="100">
        <v>3950000</v>
      </c>
      <c r="G10" s="97">
        <v>150000</v>
      </c>
      <c r="H10" s="98">
        <f t="shared" si="0"/>
        <v>30000</v>
      </c>
      <c r="I10" s="25">
        <v>30000</v>
      </c>
      <c r="J10" s="25" t="b">
        <v>0</v>
      </c>
      <c r="K10" s="1"/>
    </row>
    <row r="11" spans="1:11" x14ac:dyDescent="0.3">
      <c r="A11" s="1"/>
      <c r="B11" s="93" t="s">
        <v>156</v>
      </c>
      <c r="C11" s="94">
        <v>3</v>
      </c>
      <c r="D11" s="97">
        <v>1300000</v>
      </c>
      <c r="E11" s="97">
        <v>1100000</v>
      </c>
      <c r="F11" s="100">
        <v>2400000</v>
      </c>
      <c r="G11" s="97">
        <v>150000</v>
      </c>
      <c r="H11" s="98">
        <f t="shared" si="0"/>
        <v>15000</v>
      </c>
      <c r="I11" s="25">
        <v>15000</v>
      </c>
      <c r="J11" s="25" t="b">
        <v>0</v>
      </c>
      <c r="K11" s="1"/>
    </row>
    <row r="12" spans="1:11" x14ac:dyDescent="0.3">
      <c r="A12" s="1"/>
      <c r="B12" s="93" t="s">
        <v>157</v>
      </c>
      <c r="C12" s="94">
        <v>2</v>
      </c>
      <c r="D12" s="97">
        <v>1600000</v>
      </c>
      <c r="E12" s="97">
        <v>960000</v>
      </c>
      <c r="F12" s="100">
        <v>2560000</v>
      </c>
      <c r="G12" s="97">
        <v>150000</v>
      </c>
      <c r="H12" s="98">
        <f t="shared" si="0"/>
        <v>15000</v>
      </c>
      <c r="I12" s="25">
        <v>15000</v>
      </c>
      <c r="J12" s="25" t="b">
        <v>0</v>
      </c>
      <c r="K12" s="1"/>
    </row>
    <row r="13" spans="1:11" x14ac:dyDescent="0.3">
      <c r="A13" s="1"/>
      <c r="B13" s="93" t="s">
        <v>158</v>
      </c>
      <c r="C13" s="94">
        <v>2</v>
      </c>
      <c r="D13" s="97">
        <v>1250000</v>
      </c>
      <c r="E13" s="97">
        <v>1350000</v>
      </c>
      <c r="F13" s="100">
        <v>2600000</v>
      </c>
      <c r="G13" s="97">
        <v>150000</v>
      </c>
      <c r="H13" s="98">
        <f t="shared" si="0"/>
        <v>15000</v>
      </c>
      <c r="I13" s="25">
        <v>15000</v>
      </c>
      <c r="J13" s="25" t="b">
        <v>0</v>
      </c>
      <c r="K13" s="1"/>
    </row>
    <row r="14" spans="1:11" x14ac:dyDescent="0.3">
      <c r="A14" s="1"/>
      <c r="B14" s="93" t="s">
        <v>159</v>
      </c>
      <c r="C14" s="94">
        <v>3</v>
      </c>
      <c r="D14" s="97">
        <v>1400000</v>
      </c>
      <c r="E14" s="97">
        <v>1600000</v>
      </c>
      <c r="F14" s="100">
        <v>3000000</v>
      </c>
      <c r="G14" s="97">
        <v>150000</v>
      </c>
      <c r="H14" s="98">
        <f t="shared" si="0"/>
        <v>15000</v>
      </c>
      <c r="I14" s="25">
        <v>15000</v>
      </c>
      <c r="J14" s="25" t="b">
        <v>0</v>
      </c>
      <c r="K14" s="1"/>
    </row>
    <row r="15" spans="1:11" x14ac:dyDescent="0.3">
      <c r="A15" s="1"/>
      <c r="B15" s="93" t="s">
        <v>160</v>
      </c>
      <c r="C15" s="94">
        <v>2</v>
      </c>
      <c r="D15" s="97">
        <v>1100000</v>
      </c>
      <c r="E15" s="97">
        <v>1115000</v>
      </c>
      <c r="F15" s="100">
        <v>2215000</v>
      </c>
      <c r="G15" s="97">
        <v>150000</v>
      </c>
      <c r="H15" s="98">
        <f t="shared" si="0"/>
        <v>15000</v>
      </c>
      <c r="I15" s="25">
        <v>15000</v>
      </c>
      <c r="J15" s="25" t="b">
        <v>0</v>
      </c>
      <c r="K15" s="1"/>
    </row>
    <row r="16" spans="1:11" x14ac:dyDescent="0.3">
      <c r="A16" s="1"/>
      <c r="B16" s="93" t="s">
        <v>161</v>
      </c>
      <c r="C16" s="94">
        <v>3</v>
      </c>
      <c r="D16" s="97">
        <v>1450000</v>
      </c>
      <c r="E16" s="97">
        <v>860000</v>
      </c>
      <c r="F16" s="100">
        <v>2310000</v>
      </c>
      <c r="G16" s="97">
        <v>150000</v>
      </c>
      <c r="H16" s="98">
        <f t="shared" si="0"/>
        <v>15000</v>
      </c>
      <c r="I16" s="25">
        <v>15000</v>
      </c>
      <c r="J16" s="25" t="b">
        <v>0</v>
      </c>
      <c r="K16" s="1"/>
    </row>
    <row r="17" spans="2:10" x14ac:dyDescent="0.3">
      <c r="B17" s="93" t="s">
        <v>162</v>
      </c>
      <c r="C17" s="94">
        <v>1</v>
      </c>
      <c r="D17" s="97">
        <v>1500000</v>
      </c>
      <c r="E17" s="97">
        <v>890000</v>
      </c>
      <c r="F17" s="100">
        <v>2390000</v>
      </c>
      <c r="G17" s="97">
        <v>150000</v>
      </c>
      <c r="H17" s="98">
        <f t="shared" si="0"/>
        <v>15000</v>
      </c>
      <c r="I17" s="25">
        <v>15000</v>
      </c>
      <c r="J17" s="25" t="b">
        <v>0</v>
      </c>
    </row>
    <row r="18" spans="2:10" ht="15" thickBot="1" x14ac:dyDescent="0.35">
      <c r="B18" s="95" t="s">
        <v>163</v>
      </c>
      <c r="C18" s="96">
        <v>2</v>
      </c>
      <c r="D18" s="99">
        <v>1450000</v>
      </c>
      <c r="E18" s="99">
        <v>1580000</v>
      </c>
      <c r="F18" s="100">
        <v>3030000</v>
      </c>
      <c r="G18" s="99">
        <v>150000</v>
      </c>
      <c r="H18" s="98">
        <f t="shared" si="0"/>
        <v>30000</v>
      </c>
      <c r="I18" s="25">
        <v>30000</v>
      </c>
      <c r="J18" s="25" t="b">
        <v>0</v>
      </c>
    </row>
    <row r="21" spans="2:10" ht="30" x14ac:dyDescent="0.5">
      <c r="B21" s="31" t="s">
        <v>14</v>
      </c>
      <c r="C21" s="1"/>
      <c r="D21" s="1"/>
      <c r="E21" s="1"/>
      <c r="F21" s="1"/>
      <c r="G21" s="1"/>
      <c r="H21" s="1"/>
      <c r="I21" s="1"/>
      <c r="J21" s="1"/>
    </row>
  </sheetData>
  <pageMargins left="0.7" right="0.7" top="0.75" bottom="0.75" header="0.3" footer="0.3"/>
  <ignoredErrors>
    <ignoredError sqref="H4:H18" unlocked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24"/>
  <sheetViews>
    <sheetView workbookViewId="0">
      <selection activeCell="D5" sqref="D5"/>
    </sheetView>
  </sheetViews>
  <sheetFormatPr baseColWidth="10" defaultRowHeight="15.6" x14ac:dyDescent="0.3"/>
  <cols>
    <col min="2" max="2" width="25.33203125" customWidth="1"/>
    <col min="3" max="3" width="25.6640625" customWidth="1"/>
    <col min="4" max="4" width="20.109375" style="150" customWidth="1"/>
  </cols>
  <sheetData>
    <row r="1" spans="1:6" ht="15" thickBot="1" x14ac:dyDescent="0.35">
      <c r="A1" s="25" t="b">
        <v>1</v>
      </c>
      <c r="B1" s="25" t="b">
        <v>0</v>
      </c>
      <c r="C1" s="25"/>
      <c r="D1" s="25"/>
      <c r="E1" s="25"/>
      <c r="F1" s="25"/>
    </row>
    <row r="2" spans="1:6" ht="18" thickBot="1" x14ac:dyDescent="0.35">
      <c r="A2" s="1"/>
      <c r="B2" s="141" t="s">
        <v>164</v>
      </c>
      <c r="C2" s="142"/>
      <c r="D2" s="143"/>
      <c r="E2" s="1"/>
      <c r="F2" s="1"/>
    </row>
    <row r="3" spans="1:6" ht="18" thickBot="1" x14ac:dyDescent="0.35">
      <c r="A3" s="1"/>
      <c r="B3" s="105"/>
      <c r="C3" s="105"/>
      <c r="D3" s="105"/>
      <c r="E3" s="1"/>
      <c r="F3" s="1"/>
    </row>
    <row r="4" spans="1:6" ht="17.399999999999999" x14ac:dyDescent="0.3">
      <c r="A4" s="1"/>
      <c r="B4" s="106" t="s">
        <v>15</v>
      </c>
      <c r="C4" s="107" t="s">
        <v>165</v>
      </c>
      <c r="D4" s="108" t="s">
        <v>166</v>
      </c>
      <c r="E4" s="1"/>
      <c r="F4" s="1"/>
    </row>
    <row r="5" spans="1:6" ht="17.399999999999999" x14ac:dyDescent="0.3">
      <c r="A5" s="1"/>
      <c r="B5" s="109" t="s">
        <v>20</v>
      </c>
      <c r="C5" s="112">
        <v>2</v>
      </c>
      <c r="D5" s="147"/>
      <c r="E5" s="25">
        <v>5500</v>
      </c>
      <c r="F5" s="25" t="b">
        <v>0</v>
      </c>
    </row>
    <row r="6" spans="1:6" ht="17.399999999999999" x14ac:dyDescent="0.3">
      <c r="A6" s="1"/>
      <c r="B6" s="109" t="s">
        <v>22</v>
      </c>
      <c r="C6" s="112">
        <v>2</v>
      </c>
      <c r="D6" s="147"/>
      <c r="E6" s="25">
        <v>5500</v>
      </c>
      <c r="F6" s="25" t="b">
        <v>0</v>
      </c>
    </row>
    <row r="7" spans="1:6" ht="17.399999999999999" x14ac:dyDescent="0.3">
      <c r="A7" s="1"/>
      <c r="B7" s="109" t="s">
        <v>24</v>
      </c>
      <c r="C7" s="112">
        <v>1</v>
      </c>
      <c r="D7" s="147"/>
      <c r="E7" s="25">
        <v>3500</v>
      </c>
      <c r="F7" s="25" t="b">
        <v>0</v>
      </c>
    </row>
    <row r="8" spans="1:6" ht="17.399999999999999" x14ac:dyDescent="0.3">
      <c r="A8" s="1"/>
      <c r="B8" s="109" t="s">
        <v>25</v>
      </c>
      <c r="C8" s="112">
        <v>0</v>
      </c>
      <c r="D8" s="147"/>
      <c r="E8" s="25">
        <v>1500</v>
      </c>
      <c r="F8" s="25" t="b">
        <v>0</v>
      </c>
    </row>
    <row r="9" spans="1:6" ht="17.399999999999999" x14ac:dyDescent="0.3">
      <c r="A9" s="1"/>
      <c r="B9" s="109" t="s">
        <v>26</v>
      </c>
      <c r="C9" s="112">
        <v>4</v>
      </c>
      <c r="D9" s="147"/>
      <c r="E9" s="25">
        <v>9500</v>
      </c>
      <c r="F9" s="25" t="b">
        <v>0</v>
      </c>
    </row>
    <row r="10" spans="1:6" ht="17.399999999999999" x14ac:dyDescent="0.3">
      <c r="A10" s="1"/>
      <c r="B10" s="109" t="s">
        <v>27</v>
      </c>
      <c r="C10" s="112">
        <v>1</v>
      </c>
      <c r="D10" s="147"/>
      <c r="E10" s="25">
        <v>3500</v>
      </c>
      <c r="F10" s="25" t="b">
        <v>0</v>
      </c>
    </row>
    <row r="11" spans="1:6" ht="17.399999999999999" x14ac:dyDescent="0.3">
      <c r="A11" s="1"/>
      <c r="B11" s="109" t="s">
        <v>28</v>
      </c>
      <c r="C11" s="112">
        <v>0</v>
      </c>
      <c r="D11" s="147"/>
      <c r="E11" s="25">
        <v>1500</v>
      </c>
      <c r="F11" s="25" t="b">
        <v>0</v>
      </c>
    </row>
    <row r="12" spans="1:6" ht="17.399999999999999" x14ac:dyDescent="0.3">
      <c r="A12" s="1"/>
      <c r="B12" s="109" t="s">
        <v>29</v>
      </c>
      <c r="C12" s="112">
        <v>1</v>
      </c>
      <c r="D12" s="147"/>
      <c r="E12" s="25">
        <v>3500</v>
      </c>
      <c r="F12" s="25" t="b">
        <v>0</v>
      </c>
    </row>
    <row r="13" spans="1:6" ht="17.399999999999999" x14ac:dyDescent="0.3">
      <c r="A13" s="1"/>
      <c r="B13" s="109" t="s">
        <v>167</v>
      </c>
      <c r="C13" s="112">
        <v>0</v>
      </c>
      <c r="D13" s="147"/>
      <c r="E13" s="25">
        <v>1500</v>
      </c>
      <c r="F13" s="25" t="b">
        <v>0</v>
      </c>
    </row>
    <row r="14" spans="1:6" ht="17.399999999999999" x14ac:dyDescent="0.3">
      <c r="A14" s="1"/>
      <c r="B14" s="109" t="s">
        <v>168</v>
      </c>
      <c r="C14" s="112">
        <v>1</v>
      </c>
      <c r="D14" s="147"/>
      <c r="E14" s="25">
        <v>3500</v>
      </c>
      <c r="F14" s="25" t="b">
        <v>0</v>
      </c>
    </row>
    <row r="15" spans="1:6" ht="17.399999999999999" x14ac:dyDescent="0.3">
      <c r="A15" s="1"/>
      <c r="B15" s="109" t="s">
        <v>169</v>
      </c>
      <c r="C15" s="112">
        <v>1</v>
      </c>
      <c r="D15" s="147"/>
      <c r="E15" s="25">
        <v>3500</v>
      </c>
      <c r="F15" s="25" t="b">
        <v>0</v>
      </c>
    </row>
    <row r="16" spans="1:6" ht="17.399999999999999" x14ac:dyDescent="0.3">
      <c r="A16" s="1"/>
      <c r="B16" s="109" t="s">
        <v>170</v>
      </c>
      <c r="C16" s="112">
        <v>0</v>
      </c>
      <c r="D16" s="147"/>
      <c r="E16" s="25">
        <v>1500</v>
      </c>
      <c r="F16" s="25" t="b">
        <v>0</v>
      </c>
    </row>
    <row r="17" spans="2:9" ht="17.399999999999999" x14ac:dyDescent="0.3">
      <c r="B17" s="109" t="s">
        <v>171</v>
      </c>
      <c r="C17" s="112">
        <v>5</v>
      </c>
      <c r="D17" s="147"/>
      <c r="E17" s="25">
        <v>11500</v>
      </c>
      <c r="F17" s="25" t="b">
        <v>0</v>
      </c>
      <c r="G17" s="1"/>
      <c r="H17" s="1"/>
      <c r="I17" s="1"/>
    </row>
    <row r="18" spans="2:9" ht="17.399999999999999" x14ac:dyDescent="0.3">
      <c r="B18" s="109" t="s">
        <v>172</v>
      </c>
      <c r="C18" s="112">
        <v>1</v>
      </c>
      <c r="D18" s="147"/>
      <c r="E18" s="25">
        <v>3500</v>
      </c>
      <c r="F18" s="25" t="b">
        <v>0</v>
      </c>
      <c r="G18" s="1"/>
      <c r="H18" s="1"/>
      <c r="I18" s="1"/>
    </row>
    <row r="19" spans="2:9" ht="17.399999999999999" x14ac:dyDescent="0.3">
      <c r="B19" s="109" t="s">
        <v>173</v>
      </c>
      <c r="C19" s="112">
        <v>0</v>
      </c>
      <c r="D19" s="147"/>
      <c r="E19" s="25">
        <v>1500</v>
      </c>
      <c r="F19" s="25" t="b">
        <v>0</v>
      </c>
      <c r="G19" s="1"/>
      <c r="H19" s="1"/>
      <c r="I19" s="1"/>
    </row>
    <row r="20" spans="2:9" ht="17.399999999999999" x14ac:dyDescent="0.3">
      <c r="B20" s="109" t="s">
        <v>174</v>
      </c>
      <c r="C20" s="112">
        <v>0</v>
      </c>
      <c r="D20" s="147"/>
      <c r="E20" s="25">
        <v>1500</v>
      </c>
      <c r="F20" s="25" t="b">
        <v>0</v>
      </c>
      <c r="G20" s="1"/>
      <c r="H20" s="1"/>
      <c r="I20" s="1"/>
    </row>
    <row r="21" spans="2:9" ht="18" thickBot="1" x14ac:dyDescent="0.35">
      <c r="B21" s="110" t="s">
        <v>175</v>
      </c>
      <c r="C21" s="113">
        <v>1</v>
      </c>
      <c r="D21" s="147"/>
      <c r="E21" s="25">
        <v>3500</v>
      </c>
      <c r="F21" s="25" t="b">
        <v>0</v>
      </c>
      <c r="G21" s="111"/>
      <c r="H21" s="111"/>
      <c r="I21" s="111"/>
    </row>
    <row r="22" spans="2:9" ht="17.399999999999999" x14ac:dyDescent="0.3">
      <c r="B22" s="105"/>
      <c r="C22" s="105"/>
      <c r="D22" s="148"/>
      <c r="E22" s="1"/>
      <c r="F22" s="1"/>
      <c r="G22" s="1"/>
      <c r="H22" s="1"/>
      <c r="I22" s="1"/>
    </row>
    <row r="23" spans="2:9" ht="17.399999999999999" x14ac:dyDescent="0.3">
      <c r="B23" s="105"/>
      <c r="C23" s="105"/>
      <c r="D23" s="148"/>
      <c r="E23" s="1"/>
      <c r="F23" s="1"/>
      <c r="G23" s="1"/>
      <c r="H23" s="1"/>
      <c r="I23" s="1"/>
    </row>
    <row r="24" spans="2:9" ht="30" x14ac:dyDescent="0.5">
      <c r="B24" s="31" t="s">
        <v>14</v>
      </c>
      <c r="C24" s="1"/>
      <c r="D24" s="149"/>
      <c r="E24" s="1"/>
      <c r="F24" s="1"/>
      <c r="G24" s="1"/>
      <c r="H24" s="1"/>
      <c r="I24" s="1"/>
    </row>
  </sheetData>
  <mergeCells count="1">
    <mergeCell ref="B2:D2"/>
  </mergeCell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selection activeCell="H8" sqref="H8"/>
    </sheetView>
  </sheetViews>
  <sheetFormatPr baseColWidth="10" defaultRowHeight="14.4" x14ac:dyDescent="0.3"/>
  <cols>
    <col min="2" max="2" width="33.5546875" customWidth="1"/>
    <col min="4" max="4" width="18.109375" customWidth="1"/>
  </cols>
  <sheetData>
    <row r="1" spans="1:10" ht="15" thickBot="1" x14ac:dyDescent="0.35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  <c r="J1" s="25"/>
    </row>
    <row r="2" spans="1:10" ht="15" thickBot="1" x14ac:dyDescent="0.35">
      <c r="A2" s="1"/>
      <c r="B2" s="138" t="s">
        <v>30</v>
      </c>
      <c r="C2" s="139"/>
      <c r="D2" s="139"/>
      <c r="E2" s="139"/>
      <c r="F2" s="139"/>
      <c r="G2" s="139"/>
      <c r="H2" s="140"/>
      <c r="I2" s="1"/>
      <c r="J2" s="1"/>
    </row>
    <row r="3" spans="1:10" ht="15" thickBot="1" x14ac:dyDescent="0.35">
      <c r="A3" s="1"/>
      <c r="B3" s="44"/>
      <c r="C3" s="44"/>
      <c r="D3" s="44"/>
      <c r="E3" s="44"/>
      <c r="F3" s="44"/>
      <c r="G3" s="44"/>
      <c r="H3" s="44"/>
      <c r="I3" s="1"/>
      <c r="J3" s="1"/>
    </row>
    <row r="4" spans="1:10" x14ac:dyDescent="0.3">
      <c r="A4" s="1"/>
      <c r="B4" s="79" t="s">
        <v>31</v>
      </c>
      <c r="C4" s="80" t="s">
        <v>32</v>
      </c>
      <c r="D4" s="80" t="s">
        <v>33</v>
      </c>
      <c r="E4" s="80" t="s">
        <v>34</v>
      </c>
      <c r="F4" s="80" t="s">
        <v>36</v>
      </c>
      <c r="G4" s="80" t="s">
        <v>140</v>
      </c>
      <c r="H4" s="81" t="s">
        <v>187</v>
      </c>
      <c r="I4" s="1"/>
      <c r="J4" s="1"/>
    </row>
    <row r="5" spans="1:10" x14ac:dyDescent="0.3">
      <c r="A5" s="1"/>
      <c r="B5" s="57" t="s">
        <v>37</v>
      </c>
      <c r="C5" s="46">
        <v>25</v>
      </c>
      <c r="D5" s="53" t="s">
        <v>38</v>
      </c>
      <c r="E5" s="46" t="s">
        <v>39</v>
      </c>
      <c r="F5" s="46">
        <v>1</v>
      </c>
      <c r="G5" s="88">
        <v>250000</v>
      </c>
      <c r="H5" s="122">
        <f>+IF(F5=$F$5,10%*G5,3%*G5)</f>
        <v>25000</v>
      </c>
      <c r="I5" s="25">
        <v>25000</v>
      </c>
      <c r="J5" s="25" t="b">
        <v>0</v>
      </c>
    </row>
    <row r="6" spans="1:10" x14ac:dyDescent="0.3">
      <c r="A6" s="1"/>
      <c r="B6" s="57" t="s">
        <v>41</v>
      </c>
      <c r="C6" s="46">
        <v>30</v>
      </c>
      <c r="D6" s="53" t="s">
        <v>42</v>
      </c>
      <c r="E6" s="46" t="s">
        <v>43</v>
      </c>
      <c r="F6" s="46">
        <v>2</v>
      </c>
      <c r="G6" s="88">
        <v>180000</v>
      </c>
      <c r="H6" s="122">
        <f>+IF(F6=$F$5,10%*G6,3%*G6)</f>
        <v>5400</v>
      </c>
      <c r="I6" s="25">
        <v>5400</v>
      </c>
      <c r="J6" s="25" t="b">
        <v>0</v>
      </c>
    </row>
    <row r="7" spans="1:10" x14ac:dyDescent="0.3">
      <c r="A7" s="1"/>
      <c r="B7" s="57" t="s">
        <v>45</v>
      </c>
      <c r="C7" s="46">
        <v>42</v>
      </c>
      <c r="D7" s="53" t="s">
        <v>46</v>
      </c>
      <c r="E7" s="46" t="s">
        <v>43</v>
      </c>
      <c r="F7" s="46">
        <v>3</v>
      </c>
      <c r="G7" s="88">
        <v>180000</v>
      </c>
      <c r="H7" s="122">
        <f t="shared" ref="H6:H14" si="0">+IF(F7=$F$5,10%*G7,3%*G7)</f>
        <v>5400</v>
      </c>
      <c r="I7" s="25">
        <v>5400</v>
      </c>
      <c r="J7" s="25" t="b">
        <v>0</v>
      </c>
    </row>
    <row r="8" spans="1:10" x14ac:dyDescent="0.3">
      <c r="A8" s="1"/>
      <c r="B8" s="57" t="s">
        <v>47</v>
      </c>
      <c r="C8" s="46">
        <v>35</v>
      </c>
      <c r="D8" s="53" t="s">
        <v>48</v>
      </c>
      <c r="E8" s="46" t="s">
        <v>49</v>
      </c>
      <c r="F8" s="46">
        <v>1</v>
      </c>
      <c r="G8" s="88">
        <v>350000</v>
      </c>
      <c r="H8" s="122">
        <f t="shared" si="0"/>
        <v>35000</v>
      </c>
      <c r="I8" s="25">
        <v>35000</v>
      </c>
      <c r="J8" s="25" t="b">
        <v>0</v>
      </c>
    </row>
    <row r="9" spans="1:10" x14ac:dyDescent="0.3">
      <c r="A9" s="1"/>
      <c r="B9" s="57" t="s">
        <v>50</v>
      </c>
      <c r="C9" s="46">
        <v>23</v>
      </c>
      <c r="D9" s="53" t="s">
        <v>42</v>
      </c>
      <c r="E9" s="46" t="s">
        <v>39</v>
      </c>
      <c r="F9" s="46">
        <v>1</v>
      </c>
      <c r="G9" s="88">
        <v>123321</v>
      </c>
      <c r="H9" s="122">
        <f t="shared" si="0"/>
        <v>12332.1</v>
      </c>
      <c r="I9" s="25">
        <v>12332.1</v>
      </c>
      <c r="J9" s="25" t="b">
        <v>0</v>
      </c>
    </row>
    <row r="10" spans="1:10" x14ac:dyDescent="0.3">
      <c r="A10" s="1"/>
      <c r="B10" s="57" t="s">
        <v>51</v>
      </c>
      <c r="C10" s="46">
        <v>20</v>
      </c>
      <c r="D10" s="53" t="s">
        <v>52</v>
      </c>
      <c r="E10" s="46" t="s">
        <v>43</v>
      </c>
      <c r="F10" s="46">
        <v>1</v>
      </c>
      <c r="G10" s="88">
        <v>180000</v>
      </c>
      <c r="H10" s="122">
        <f t="shared" si="0"/>
        <v>18000</v>
      </c>
      <c r="I10" s="25">
        <v>18000</v>
      </c>
      <c r="J10" s="25" t="b">
        <v>0</v>
      </c>
    </row>
    <row r="11" spans="1:10" x14ac:dyDescent="0.3">
      <c r="A11" s="1"/>
      <c r="B11" s="57" t="s">
        <v>53</v>
      </c>
      <c r="C11" s="46">
        <v>36</v>
      </c>
      <c r="D11" s="53" t="s">
        <v>38</v>
      </c>
      <c r="E11" s="46" t="s">
        <v>39</v>
      </c>
      <c r="F11" s="46">
        <v>1</v>
      </c>
      <c r="G11" s="88">
        <v>250000</v>
      </c>
      <c r="H11" s="122">
        <f t="shared" si="0"/>
        <v>25000</v>
      </c>
      <c r="I11" s="25">
        <v>25000</v>
      </c>
      <c r="J11" s="25" t="b">
        <v>0</v>
      </c>
    </row>
    <row r="12" spans="1:10" x14ac:dyDescent="0.3">
      <c r="A12" s="1"/>
      <c r="B12" s="57" t="s">
        <v>54</v>
      </c>
      <c r="C12" s="46">
        <v>40</v>
      </c>
      <c r="D12" s="53" t="s">
        <v>42</v>
      </c>
      <c r="E12" s="46" t="s">
        <v>43</v>
      </c>
      <c r="F12" s="46">
        <v>1</v>
      </c>
      <c r="G12" s="88">
        <v>123456</v>
      </c>
      <c r="H12" s="122">
        <f t="shared" si="0"/>
        <v>12345.6</v>
      </c>
      <c r="I12" s="25">
        <v>12345.6</v>
      </c>
      <c r="J12" s="25" t="b">
        <v>0</v>
      </c>
    </row>
    <row r="13" spans="1:10" x14ac:dyDescent="0.3">
      <c r="A13" s="1"/>
      <c r="B13" s="57" t="s">
        <v>55</v>
      </c>
      <c r="C13" s="46">
        <v>45</v>
      </c>
      <c r="D13" s="53" t="s">
        <v>48</v>
      </c>
      <c r="E13" s="46" t="s">
        <v>49</v>
      </c>
      <c r="F13" s="46">
        <v>3</v>
      </c>
      <c r="G13" s="88">
        <v>350000</v>
      </c>
      <c r="H13" s="122">
        <f t="shared" si="0"/>
        <v>10500</v>
      </c>
      <c r="I13" s="25">
        <v>10500</v>
      </c>
      <c r="J13" s="25" t="b">
        <v>0</v>
      </c>
    </row>
    <row r="14" spans="1:10" ht="15" thickBot="1" x14ac:dyDescent="0.35">
      <c r="A14" s="1"/>
      <c r="B14" s="58" t="s">
        <v>56</v>
      </c>
      <c r="C14" s="47">
        <v>28</v>
      </c>
      <c r="D14" s="55" t="s">
        <v>46</v>
      </c>
      <c r="E14" s="47" t="s">
        <v>39</v>
      </c>
      <c r="F14" s="47">
        <v>3</v>
      </c>
      <c r="G14" s="89">
        <v>250000</v>
      </c>
      <c r="H14" s="122">
        <f t="shared" si="0"/>
        <v>7500</v>
      </c>
      <c r="I14" s="25">
        <v>7500</v>
      </c>
      <c r="J14" s="25" t="b">
        <v>0</v>
      </c>
    </row>
    <row r="15" spans="1:10" x14ac:dyDescent="0.3">
      <c r="A15" s="1"/>
      <c r="B15" s="44"/>
      <c r="C15" s="45"/>
      <c r="D15" s="44"/>
      <c r="E15" s="45"/>
      <c r="F15" s="45"/>
      <c r="G15" s="44"/>
      <c r="H15" s="44"/>
      <c r="I15" s="1"/>
      <c r="J15" s="1"/>
    </row>
    <row r="16" spans="1:10" x14ac:dyDescent="0.3">
      <c r="A16" s="1"/>
      <c r="B16" s="44"/>
      <c r="C16" s="45"/>
      <c r="D16" s="44"/>
      <c r="E16" s="45"/>
      <c r="F16" s="45"/>
      <c r="G16" s="44"/>
      <c r="H16" s="44"/>
      <c r="I16" s="1"/>
      <c r="J16" s="1"/>
    </row>
    <row r="17" spans="2:8" ht="30" x14ac:dyDescent="0.5">
      <c r="B17" s="31" t="s">
        <v>14</v>
      </c>
      <c r="C17" s="45"/>
      <c r="D17" s="44"/>
      <c r="E17" s="45"/>
      <c r="F17" s="45"/>
      <c r="G17" s="44"/>
      <c r="H17" s="44"/>
    </row>
    <row r="18" spans="2:8" x14ac:dyDescent="0.3">
      <c r="B18" s="44"/>
      <c r="C18" s="45"/>
      <c r="D18" s="44"/>
      <c r="E18" s="45"/>
      <c r="F18" s="45"/>
      <c r="G18" s="44"/>
      <c r="H18" s="44"/>
    </row>
    <row r="19" spans="2:8" x14ac:dyDescent="0.3">
      <c r="B19" s="44"/>
      <c r="C19" s="45"/>
      <c r="D19" s="44"/>
      <c r="E19" s="45"/>
      <c r="F19" s="45"/>
      <c r="G19" s="44"/>
      <c r="H19" s="44"/>
    </row>
    <row r="20" spans="2:8" x14ac:dyDescent="0.3">
      <c r="B20" s="44"/>
      <c r="C20" s="45"/>
      <c r="D20" s="44"/>
      <c r="E20" s="45"/>
      <c r="F20" s="45"/>
      <c r="G20" s="44"/>
      <c r="H20" s="44"/>
    </row>
    <row r="21" spans="2:8" x14ac:dyDescent="0.3">
      <c r="B21" s="44"/>
      <c r="C21" s="45"/>
      <c r="D21" s="44"/>
      <c r="E21" s="45"/>
      <c r="F21" s="45"/>
      <c r="G21" s="44"/>
      <c r="H21" s="44"/>
    </row>
    <row r="22" spans="2:8" x14ac:dyDescent="0.3">
      <c r="B22" s="44"/>
      <c r="C22" s="45"/>
      <c r="D22" s="44"/>
      <c r="E22" s="45"/>
      <c r="F22" s="45"/>
      <c r="G22" s="44"/>
      <c r="H22" s="44"/>
    </row>
    <row r="23" spans="2:8" x14ac:dyDescent="0.3">
      <c r="B23" s="44"/>
      <c r="C23" s="45"/>
      <c r="D23" s="44"/>
      <c r="E23" s="45"/>
      <c r="F23" s="45"/>
      <c r="G23" s="44"/>
      <c r="H23" s="44"/>
    </row>
    <row r="24" spans="2:8" x14ac:dyDescent="0.3">
      <c r="B24" s="44"/>
      <c r="C24" s="45"/>
      <c r="D24" s="44"/>
      <c r="E24" s="45"/>
      <c r="F24" s="45"/>
      <c r="G24" s="44"/>
      <c r="H24" s="44"/>
    </row>
    <row r="25" spans="2:8" x14ac:dyDescent="0.3">
      <c r="B25" s="44"/>
      <c r="C25" s="45"/>
      <c r="D25" s="44"/>
      <c r="E25" s="45"/>
      <c r="F25" s="45"/>
      <c r="G25" s="44"/>
      <c r="H25" s="44"/>
    </row>
    <row r="26" spans="2:8" x14ac:dyDescent="0.3">
      <c r="B26" s="44"/>
      <c r="C26" s="45"/>
      <c r="D26" s="44"/>
      <c r="E26" s="45"/>
      <c r="F26" s="45"/>
      <c r="G26" s="44"/>
      <c r="H26" s="44"/>
    </row>
  </sheetData>
  <mergeCells count="1">
    <mergeCell ref="B2:H2"/>
  </mergeCells>
  <pageMargins left="0.7" right="0.7" top="0.75" bottom="0.75" header="0.3" footer="0.3"/>
  <ignoredErrors>
    <ignoredError sqref="H5:H8" unlocked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workbookViewId="0">
      <selection activeCell="K6" sqref="K6:K22"/>
    </sheetView>
  </sheetViews>
  <sheetFormatPr baseColWidth="10" defaultRowHeight="14.4" x14ac:dyDescent="0.3"/>
  <cols>
    <col min="2" max="2" width="18.6640625" customWidth="1"/>
    <col min="3" max="3" width="4.6640625" customWidth="1"/>
    <col min="4" max="5" width="4.88671875" customWidth="1"/>
    <col min="6" max="6" width="3.6640625" customWidth="1"/>
    <col min="7" max="7" width="3.33203125" customWidth="1"/>
    <col min="8" max="8" width="4.44140625" customWidth="1"/>
    <col min="9" max="9" width="4" customWidth="1"/>
    <col min="10" max="10" width="9.5546875" customWidth="1"/>
    <col min="11" max="11" width="26.77734375" bestFit="1" customWidth="1"/>
  </cols>
  <sheetData>
    <row r="1" spans="1:13" x14ac:dyDescent="0.3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5" thickBot="1" x14ac:dyDescent="0.35">
      <c r="A2" s="2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25"/>
      <c r="B3" s="144" t="s">
        <v>176</v>
      </c>
      <c r="C3" s="145"/>
      <c r="D3" s="145"/>
      <c r="E3" s="145"/>
      <c r="F3" s="145"/>
      <c r="G3" s="145"/>
      <c r="H3" s="145"/>
      <c r="I3" s="145"/>
      <c r="J3" s="145"/>
      <c r="K3" s="146"/>
      <c r="L3" s="1"/>
      <c r="M3" s="1"/>
    </row>
    <row r="4" spans="1:13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49.8" x14ac:dyDescent="0.3">
      <c r="A5" s="1"/>
      <c r="B5" s="114" t="s">
        <v>15</v>
      </c>
      <c r="C5" s="115" t="s">
        <v>177</v>
      </c>
      <c r="D5" s="115" t="s">
        <v>178</v>
      </c>
      <c r="E5" s="115" t="s">
        <v>179</v>
      </c>
      <c r="F5" s="115" t="s">
        <v>180</v>
      </c>
      <c r="G5" s="115" t="s">
        <v>181</v>
      </c>
      <c r="H5" s="115" t="s">
        <v>182</v>
      </c>
      <c r="I5" s="115" t="s">
        <v>183</v>
      </c>
      <c r="J5" s="116" t="s">
        <v>184</v>
      </c>
      <c r="K5" s="116" t="s">
        <v>19</v>
      </c>
      <c r="L5" s="117"/>
      <c r="M5" s="1"/>
    </row>
    <row r="6" spans="1:13" x14ac:dyDescent="0.3">
      <c r="A6" s="1"/>
      <c r="B6" s="93" t="s">
        <v>20</v>
      </c>
      <c r="C6" s="120">
        <v>0</v>
      </c>
      <c r="D6" s="120">
        <v>1</v>
      </c>
      <c r="E6" s="120">
        <v>0</v>
      </c>
      <c r="F6" s="120">
        <v>2</v>
      </c>
      <c r="G6" s="120">
        <v>0</v>
      </c>
      <c r="H6" s="120">
        <v>0</v>
      </c>
      <c r="I6" s="120">
        <v>1</v>
      </c>
      <c r="J6" s="94">
        <v>4</v>
      </c>
      <c r="K6" s="33" t="str">
        <f>+IF(J6&gt;4,"ACEPTABLE","DEBE MEJORAR EL ESTUDIO")</f>
        <v>DEBE MEJORAR EL ESTUDIO</v>
      </c>
      <c r="L6" s="25" t="s">
        <v>185</v>
      </c>
      <c r="M6" s="25" t="b">
        <v>0</v>
      </c>
    </row>
    <row r="7" spans="1:13" x14ac:dyDescent="0.3">
      <c r="A7" s="1"/>
      <c r="B7" s="93" t="s">
        <v>22</v>
      </c>
      <c r="C7" s="120">
        <v>1</v>
      </c>
      <c r="D7" s="120">
        <v>0</v>
      </c>
      <c r="E7" s="120">
        <v>2</v>
      </c>
      <c r="F7" s="120">
        <v>1</v>
      </c>
      <c r="G7" s="120">
        <v>0</v>
      </c>
      <c r="H7" s="120">
        <v>2</v>
      </c>
      <c r="I7" s="120">
        <v>0</v>
      </c>
      <c r="J7" s="94">
        <v>6</v>
      </c>
      <c r="K7" s="33" t="str">
        <f t="shared" ref="K7:K22" si="0">+IF(J7&gt;4,"ACEPTABLE","DEBE MEJORAR EL ESTUDIO")</f>
        <v>ACEPTABLE</v>
      </c>
      <c r="L7" s="25" t="s">
        <v>186</v>
      </c>
      <c r="M7" s="25" t="b">
        <v>0</v>
      </c>
    </row>
    <row r="8" spans="1:13" x14ac:dyDescent="0.3">
      <c r="A8" s="1"/>
      <c r="B8" s="93" t="s">
        <v>24</v>
      </c>
      <c r="C8" s="120">
        <v>0</v>
      </c>
      <c r="D8" s="120">
        <v>0</v>
      </c>
      <c r="E8" s="120">
        <v>0</v>
      </c>
      <c r="F8" s="120">
        <v>0</v>
      </c>
      <c r="G8" s="120">
        <v>1</v>
      </c>
      <c r="H8" s="120">
        <v>0</v>
      </c>
      <c r="I8" s="120">
        <v>0</v>
      </c>
      <c r="J8" s="94">
        <v>1</v>
      </c>
      <c r="K8" s="33" t="str">
        <f t="shared" si="0"/>
        <v>DEBE MEJORAR EL ESTUDIO</v>
      </c>
      <c r="L8" s="25" t="s">
        <v>185</v>
      </c>
      <c r="M8" s="25" t="b">
        <v>0</v>
      </c>
    </row>
    <row r="9" spans="1:13" x14ac:dyDescent="0.3">
      <c r="A9" s="1"/>
      <c r="B9" s="93" t="s">
        <v>25</v>
      </c>
      <c r="C9" s="120">
        <v>2</v>
      </c>
      <c r="D9" s="120">
        <v>1</v>
      </c>
      <c r="E9" s="120">
        <v>2</v>
      </c>
      <c r="F9" s="120">
        <v>1</v>
      </c>
      <c r="G9" s="120">
        <v>0</v>
      </c>
      <c r="H9" s="120">
        <v>0</v>
      </c>
      <c r="I9" s="120">
        <v>0</v>
      </c>
      <c r="J9" s="118">
        <v>6</v>
      </c>
      <c r="K9" s="33" t="str">
        <f t="shared" si="0"/>
        <v>ACEPTABLE</v>
      </c>
      <c r="L9" s="25" t="s">
        <v>186</v>
      </c>
      <c r="M9" s="25" t="b">
        <v>0</v>
      </c>
    </row>
    <row r="10" spans="1:13" x14ac:dyDescent="0.3">
      <c r="A10" s="1"/>
      <c r="B10" s="93" t="s">
        <v>26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3</v>
      </c>
      <c r="I10" s="120">
        <v>3</v>
      </c>
      <c r="J10" s="118">
        <v>6</v>
      </c>
      <c r="K10" s="33" t="str">
        <f t="shared" si="0"/>
        <v>ACEPTABLE</v>
      </c>
      <c r="L10" s="25" t="s">
        <v>186</v>
      </c>
      <c r="M10" s="25" t="b">
        <v>0</v>
      </c>
    </row>
    <row r="11" spans="1:13" x14ac:dyDescent="0.3">
      <c r="A11" s="1"/>
      <c r="B11" s="93" t="s">
        <v>27</v>
      </c>
      <c r="C11" s="120">
        <v>2</v>
      </c>
      <c r="D11" s="120">
        <v>2</v>
      </c>
      <c r="E11" s="120">
        <v>2</v>
      </c>
      <c r="F11" s="120">
        <v>0</v>
      </c>
      <c r="G11" s="120">
        <v>0</v>
      </c>
      <c r="H11" s="120">
        <v>0</v>
      </c>
      <c r="I11" s="120">
        <v>0</v>
      </c>
      <c r="J11" s="118">
        <v>6</v>
      </c>
      <c r="K11" s="33" t="str">
        <f t="shared" si="0"/>
        <v>ACEPTABLE</v>
      </c>
      <c r="L11" s="25" t="s">
        <v>186</v>
      </c>
      <c r="M11" s="25" t="b">
        <v>0</v>
      </c>
    </row>
    <row r="12" spans="1:13" x14ac:dyDescent="0.3">
      <c r="A12" s="1"/>
      <c r="B12" s="93" t="s">
        <v>28</v>
      </c>
      <c r="C12" s="120">
        <v>0</v>
      </c>
      <c r="D12" s="120">
        <v>0</v>
      </c>
      <c r="E12" s="120">
        <v>1</v>
      </c>
      <c r="F12" s="120">
        <v>0</v>
      </c>
      <c r="G12" s="120">
        <v>0</v>
      </c>
      <c r="H12" s="120">
        <v>1</v>
      </c>
      <c r="I12" s="120">
        <v>0</v>
      </c>
      <c r="J12" s="118">
        <v>2</v>
      </c>
      <c r="K12" s="33" t="str">
        <f t="shared" si="0"/>
        <v>DEBE MEJORAR EL ESTUDIO</v>
      </c>
      <c r="L12" s="25" t="s">
        <v>185</v>
      </c>
      <c r="M12" s="25" t="b">
        <v>0</v>
      </c>
    </row>
    <row r="13" spans="1:13" x14ac:dyDescent="0.3">
      <c r="A13" s="1"/>
      <c r="B13" s="93" t="s">
        <v>29</v>
      </c>
      <c r="C13" s="120">
        <v>1</v>
      </c>
      <c r="D13" s="120">
        <v>0</v>
      </c>
      <c r="E13" s="120">
        <v>1</v>
      </c>
      <c r="F13" s="120">
        <v>0</v>
      </c>
      <c r="G13" s="120">
        <v>1</v>
      </c>
      <c r="H13" s="120">
        <v>0</v>
      </c>
      <c r="I13" s="120">
        <v>0</v>
      </c>
      <c r="J13" s="118">
        <v>3</v>
      </c>
      <c r="K13" s="33" t="str">
        <f t="shared" si="0"/>
        <v>DEBE MEJORAR EL ESTUDIO</v>
      </c>
      <c r="L13" s="25" t="s">
        <v>185</v>
      </c>
      <c r="M13" s="25" t="b">
        <v>0</v>
      </c>
    </row>
    <row r="14" spans="1:13" x14ac:dyDescent="0.3">
      <c r="A14" s="1"/>
      <c r="B14" s="93" t="s">
        <v>167</v>
      </c>
      <c r="C14" s="120">
        <v>0</v>
      </c>
      <c r="D14" s="120">
        <v>0</v>
      </c>
      <c r="E14" s="120">
        <v>0</v>
      </c>
      <c r="F14" s="120">
        <v>2</v>
      </c>
      <c r="G14" s="120">
        <v>2</v>
      </c>
      <c r="H14" s="120">
        <v>0</v>
      </c>
      <c r="I14" s="120">
        <v>0</v>
      </c>
      <c r="J14" s="118">
        <v>4</v>
      </c>
      <c r="K14" s="33" t="str">
        <f t="shared" si="0"/>
        <v>DEBE MEJORAR EL ESTUDIO</v>
      </c>
      <c r="L14" s="25" t="s">
        <v>185</v>
      </c>
      <c r="M14" s="25" t="b">
        <v>0</v>
      </c>
    </row>
    <row r="15" spans="1:13" x14ac:dyDescent="0.3">
      <c r="A15" s="1"/>
      <c r="B15" s="93" t="s">
        <v>168</v>
      </c>
      <c r="C15" s="120">
        <v>1</v>
      </c>
      <c r="D15" s="120">
        <v>1</v>
      </c>
      <c r="E15" s="120">
        <v>1</v>
      </c>
      <c r="F15" s="120">
        <v>1</v>
      </c>
      <c r="G15" s="120">
        <v>1</v>
      </c>
      <c r="H15" s="120">
        <v>1</v>
      </c>
      <c r="I15" s="120">
        <v>1</v>
      </c>
      <c r="J15" s="118">
        <v>7</v>
      </c>
      <c r="K15" s="33" t="str">
        <f t="shared" si="0"/>
        <v>ACEPTABLE</v>
      </c>
      <c r="L15" s="25" t="s">
        <v>186</v>
      </c>
      <c r="M15" s="25" t="b">
        <v>0</v>
      </c>
    </row>
    <row r="16" spans="1:13" x14ac:dyDescent="0.3">
      <c r="A16" s="1"/>
      <c r="B16" s="93" t="s">
        <v>169</v>
      </c>
      <c r="C16" s="120">
        <v>1</v>
      </c>
      <c r="D16" s="120">
        <v>0</v>
      </c>
      <c r="E16" s="120">
        <v>2</v>
      </c>
      <c r="F16" s="120">
        <v>0</v>
      </c>
      <c r="G16" s="120">
        <v>1</v>
      </c>
      <c r="H16" s="120">
        <v>0</v>
      </c>
      <c r="I16" s="120">
        <v>0</v>
      </c>
      <c r="J16" s="118">
        <v>4</v>
      </c>
      <c r="K16" s="33" t="str">
        <f t="shared" si="0"/>
        <v>DEBE MEJORAR EL ESTUDIO</v>
      </c>
      <c r="L16" s="25" t="s">
        <v>185</v>
      </c>
      <c r="M16" s="25" t="b">
        <v>0</v>
      </c>
    </row>
    <row r="17" spans="2:13" x14ac:dyDescent="0.3">
      <c r="B17" s="93" t="s">
        <v>170</v>
      </c>
      <c r="C17" s="120">
        <v>2</v>
      </c>
      <c r="D17" s="120">
        <v>2</v>
      </c>
      <c r="E17" s="120">
        <v>2</v>
      </c>
      <c r="F17" s="120">
        <v>2</v>
      </c>
      <c r="G17" s="120">
        <v>2</v>
      </c>
      <c r="H17" s="120">
        <v>1</v>
      </c>
      <c r="I17" s="120">
        <v>1</v>
      </c>
      <c r="J17" s="118">
        <v>12</v>
      </c>
      <c r="K17" s="33" t="str">
        <f t="shared" si="0"/>
        <v>ACEPTABLE</v>
      </c>
      <c r="L17" s="25" t="s">
        <v>186</v>
      </c>
      <c r="M17" s="25" t="b">
        <v>0</v>
      </c>
    </row>
    <row r="18" spans="2:13" x14ac:dyDescent="0.3">
      <c r="B18" s="93" t="s">
        <v>171</v>
      </c>
      <c r="C18" s="120">
        <v>2</v>
      </c>
      <c r="D18" s="120">
        <v>2</v>
      </c>
      <c r="E18" s="120">
        <v>2</v>
      </c>
      <c r="F18" s="120">
        <v>2</v>
      </c>
      <c r="G18" s="120">
        <v>2</v>
      </c>
      <c r="H18" s="120">
        <v>0</v>
      </c>
      <c r="I18" s="120">
        <v>0</v>
      </c>
      <c r="J18" s="118">
        <v>10</v>
      </c>
      <c r="K18" s="33" t="str">
        <f t="shared" si="0"/>
        <v>ACEPTABLE</v>
      </c>
      <c r="L18" s="25" t="s">
        <v>186</v>
      </c>
      <c r="M18" s="25" t="b">
        <v>0</v>
      </c>
    </row>
    <row r="19" spans="2:13" x14ac:dyDescent="0.3">
      <c r="B19" s="93" t="s">
        <v>172</v>
      </c>
      <c r="C19" s="120">
        <v>0</v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18">
        <v>0</v>
      </c>
      <c r="K19" s="33" t="str">
        <f t="shared" si="0"/>
        <v>DEBE MEJORAR EL ESTUDIO</v>
      </c>
      <c r="L19" s="25" t="s">
        <v>185</v>
      </c>
      <c r="M19" s="25" t="b">
        <v>0</v>
      </c>
    </row>
    <row r="20" spans="2:13" x14ac:dyDescent="0.3">
      <c r="B20" s="93" t="s">
        <v>173</v>
      </c>
      <c r="C20" s="120">
        <v>2</v>
      </c>
      <c r="D20" s="120">
        <v>0</v>
      </c>
      <c r="E20" s="120">
        <v>2</v>
      </c>
      <c r="F20" s="120">
        <v>0</v>
      </c>
      <c r="G20" s="120">
        <v>2</v>
      </c>
      <c r="H20" s="120">
        <v>0</v>
      </c>
      <c r="I20" s="120">
        <v>0</v>
      </c>
      <c r="J20" s="118">
        <v>6</v>
      </c>
      <c r="K20" s="33" t="str">
        <f t="shared" si="0"/>
        <v>ACEPTABLE</v>
      </c>
      <c r="L20" s="25" t="s">
        <v>186</v>
      </c>
      <c r="M20" s="25" t="b">
        <v>0</v>
      </c>
    </row>
    <row r="21" spans="2:13" x14ac:dyDescent="0.3">
      <c r="B21" s="93" t="s">
        <v>174</v>
      </c>
      <c r="C21" s="120">
        <v>0</v>
      </c>
      <c r="D21" s="120">
        <v>0</v>
      </c>
      <c r="E21" s="120">
        <v>2</v>
      </c>
      <c r="F21" s="120">
        <v>0</v>
      </c>
      <c r="G21" s="120">
        <v>0</v>
      </c>
      <c r="H21" s="120">
        <v>2</v>
      </c>
      <c r="I21" s="120">
        <v>0</v>
      </c>
      <c r="J21" s="118">
        <v>4</v>
      </c>
      <c r="K21" s="33" t="str">
        <f t="shared" si="0"/>
        <v>DEBE MEJORAR EL ESTUDIO</v>
      </c>
      <c r="L21" s="25" t="s">
        <v>185</v>
      </c>
      <c r="M21" s="25" t="b">
        <v>0</v>
      </c>
    </row>
    <row r="22" spans="2:13" ht="15" thickBot="1" x14ac:dyDescent="0.35">
      <c r="B22" s="95" t="s">
        <v>175</v>
      </c>
      <c r="C22" s="121">
        <v>1</v>
      </c>
      <c r="D22" s="121">
        <v>1</v>
      </c>
      <c r="E22" s="121">
        <v>1</v>
      </c>
      <c r="F22" s="121">
        <v>1</v>
      </c>
      <c r="G22" s="121">
        <v>1</v>
      </c>
      <c r="H22" s="121">
        <v>1</v>
      </c>
      <c r="I22" s="121">
        <v>0</v>
      </c>
      <c r="J22" s="119">
        <v>6</v>
      </c>
      <c r="K22" s="33" t="str">
        <f t="shared" si="0"/>
        <v>ACEPTABLE</v>
      </c>
      <c r="L22" s="25" t="s">
        <v>186</v>
      </c>
      <c r="M22" s="25" t="b">
        <v>0</v>
      </c>
    </row>
    <row r="23" spans="2:13" x14ac:dyDescent="0.3">
      <c r="B23" s="1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"/>
    </row>
    <row r="24" spans="2:13" x14ac:dyDescent="0.3">
      <c r="B24" s="1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"/>
    </row>
    <row r="25" spans="2:13" ht="30" x14ac:dyDescent="0.5">
      <c r="B25" s="31" t="s">
        <v>14</v>
      </c>
      <c r="C25" s="1"/>
      <c r="D25" s="1"/>
      <c r="E25" s="1"/>
      <c r="F25" s="1"/>
      <c r="G25" s="1"/>
      <c r="H25" s="1"/>
      <c r="I25" s="1"/>
      <c r="J25" s="1"/>
      <c r="K25" s="117"/>
      <c r="L25" s="117"/>
      <c r="M25" s="1"/>
    </row>
  </sheetData>
  <mergeCells count="1">
    <mergeCell ref="B3:K3"/>
  </mergeCells>
  <pageMargins left="0.7" right="0.7" top="0.75" bottom="0.75" header="0.3" footer="0.3"/>
  <ignoredErrors>
    <ignoredError sqref="K6:K22" unlocked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8"/>
  <sheetViews>
    <sheetView zoomScaleNormal="100" workbookViewId="0">
      <selection activeCell="F30" sqref="F30"/>
    </sheetView>
  </sheetViews>
  <sheetFormatPr baseColWidth="10" defaultRowHeight="14.4" x14ac:dyDescent="0.3"/>
  <cols>
    <col min="2" max="2" width="46.5546875" customWidth="1"/>
    <col min="4" max="4" width="19.44140625" customWidth="1"/>
  </cols>
  <sheetData>
    <row r="1" spans="1:19" x14ac:dyDescent="0.3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" thickBot="1" x14ac:dyDescent="0.35">
      <c r="A2" s="1"/>
      <c r="B2" s="1"/>
      <c r="C2" s="1"/>
      <c r="D2" s="1"/>
      <c r="E2" s="1"/>
      <c r="F2" s="1"/>
      <c r="G2" s="1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spans="1:19" x14ac:dyDescent="0.3">
      <c r="A3" s="1"/>
      <c r="B3" s="132" t="s">
        <v>30</v>
      </c>
      <c r="C3" s="133"/>
      <c r="D3" s="133"/>
      <c r="E3" s="133"/>
      <c r="F3" s="133"/>
      <c r="G3" s="134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spans="1:19" ht="15" thickBot="1" x14ac:dyDescent="0.35">
      <c r="A4" s="1"/>
      <c r="B4" s="135"/>
      <c r="C4" s="136"/>
      <c r="D4" s="136"/>
      <c r="E4" s="136"/>
      <c r="F4" s="136"/>
      <c r="G4" s="137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spans="1:19" ht="15" thickBot="1" x14ac:dyDescent="0.35">
      <c r="A5" s="1"/>
      <c r="B5" s="44"/>
      <c r="C5" s="44"/>
      <c r="D5" s="44"/>
      <c r="E5" s="44"/>
      <c r="F5" s="44"/>
      <c r="G5" s="44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spans="1:19" ht="15" thickBot="1" x14ac:dyDescent="0.35">
      <c r="A6" s="1"/>
      <c r="B6" s="129" t="s">
        <v>31</v>
      </c>
      <c r="C6" s="130" t="s">
        <v>32</v>
      </c>
      <c r="D6" s="130" t="s">
        <v>33</v>
      </c>
      <c r="E6" s="130" t="s">
        <v>34</v>
      </c>
      <c r="F6" s="130" t="s">
        <v>35</v>
      </c>
      <c r="G6" s="131" t="s">
        <v>187</v>
      </c>
      <c r="H6" s="20"/>
      <c r="I6" s="20"/>
      <c r="J6" s="20"/>
      <c r="K6" s="20"/>
      <c r="L6" s="123"/>
      <c r="M6" s="123"/>
      <c r="N6" s="123"/>
      <c r="O6" s="123"/>
      <c r="P6" s="123"/>
      <c r="Q6" s="123"/>
      <c r="R6" s="123"/>
      <c r="S6" s="123"/>
    </row>
    <row r="7" spans="1:19" x14ac:dyDescent="0.3">
      <c r="A7" s="1"/>
      <c r="B7" s="124" t="s">
        <v>37</v>
      </c>
      <c r="C7" s="125">
        <v>40</v>
      </c>
      <c r="D7" s="126" t="s">
        <v>38</v>
      </c>
      <c r="E7" s="125" t="s">
        <v>39</v>
      </c>
      <c r="F7" s="127">
        <v>250000</v>
      </c>
      <c r="G7" s="128">
        <f>+IF(OR(C7&gt;=40,E7=$E$8),10%*F7,0)</f>
        <v>25000</v>
      </c>
      <c r="H7" s="20">
        <v>0</v>
      </c>
      <c r="I7" s="20" t="b">
        <v>1</v>
      </c>
      <c r="J7" s="20"/>
      <c r="K7" s="20"/>
      <c r="L7" s="123"/>
      <c r="M7" s="123"/>
      <c r="N7" s="123"/>
      <c r="O7" s="123"/>
      <c r="P7" s="123"/>
      <c r="Q7" s="123"/>
      <c r="R7" s="123"/>
      <c r="S7" s="123"/>
    </row>
    <row r="8" spans="1:19" x14ac:dyDescent="0.3">
      <c r="A8" s="1"/>
      <c r="B8" s="57" t="s">
        <v>41</v>
      </c>
      <c r="C8" s="46">
        <v>35</v>
      </c>
      <c r="D8" s="53" t="s">
        <v>42</v>
      </c>
      <c r="E8" s="46" t="s">
        <v>43</v>
      </c>
      <c r="F8" s="88">
        <v>180000</v>
      </c>
      <c r="G8" s="128">
        <f t="shared" ref="G8:G16" si="0">+IF(OR(C8&gt;=40,E8=$E$8),10%*F8,0)</f>
        <v>18000</v>
      </c>
      <c r="H8" s="20">
        <v>18000</v>
      </c>
      <c r="I8" s="20" t="b">
        <v>0</v>
      </c>
      <c r="J8" s="20"/>
      <c r="K8" s="20"/>
      <c r="L8" s="123"/>
      <c r="M8" s="123"/>
      <c r="N8" s="123"/>
      <c r="O8" s="123"/>
      <c r="P8" s="123"/>
      <c r="Q8" s="123"/>
      <c r="R8" s="123"/>
      <c r="S8" s="123"/>
    </row>
    <row r="9" spans="1:19" x14ac:dyDescent="0.3">
      <c r="A9" s="1"/>
      <c r="B9" s="57" t="s">
        <v>45</v>
      </c>
      <c r="C9" s="46">
        <v>42</v>
      </c>
      <c r="D9" s="53" t="s">
        <v>46</v>
      </c>
      <c r="E9" s="46" t="s">
        <v>43</v>
      </c>
      <c r="F9" s="88">
        <v>180000</v>
      </c>
      <c r="G9" s="128">
        <f t="shared" si="0"/>
        <v>18000</v>
      </c>
      <c r="H9" s="20">
        <v>18000</v>
      </c>
      <c r="I9" s="20" t="b">
        <v>0</v>
      </c>
      <c r="J9" s="20"/>
      <c r="K9" s="20"/>
      <c r="L9" s="123"/>
      <c r="M9" s="123"/>
      <c r="N9" s="123"/>
      <c r="O9" s="123"/>
      <c r="P9" s="123"/>
      <c r="Q9" s="123"/>
      <c r="R9" s="123"/>
      <c r="S9" s="123"/>
    </row>
    <row r="10" spans="1:19" x14ac:dyDescent="0.3">
      <c r="A10" s="1"/>
      <c r="B10" s="57" t="s">
        <v>47</v>
      </c>
      <c r="C10" s="46">
        <v>35</v>
      </c>
      <c r="D10" s="53" t="s">
        <v>48</v>
      </c>
      <c r="E10" s="46" t="s">
        <v>49</v>
      </c>
      <c r="F10" s="88">
        <v>350000</v>
      </c>
      <c r="G10" s="128">
        <f t="shared" si="0"/>
        <v>0</v>
      </c>
      <c r="H10" s="20">
        <v>0</v>
      </c>
      <c r="I10" s="20" t="b">
        <v>1</v>
      </c>
      <c r="J10" s="20"/>
      <c r="K10" s="20"/>
      <c r="L10" s="123"/>
      <c r="M10" s="123"/>
      <c r="N10" s="123"/>
      <c r="O10" s="123"/>
      <c r="P10" s="123"/>
      <c r="Q10" s="123"/>
      <c r="R10" s="123"/>
      <c r="S10" s="123"/>
    </row>
    <row r="11" spans="1:19" x14ac:dyDescent="0.3">
      <c r="A11" s="1"/>
      <c r="B11" s="57" t="s">
        <v>188</v>
      </c>
      <c r="C11" s="46">
        <v>23</v>
      </c>
      <c r="D11" s="53" t="s">
        <v>42</v>
      </c>
      <c r="E11" s="46" t="s">
        <v>39</v>
      </c>
      <c r="F11" s="88">
        <v>250000</v>
      </c>
      <c r="G11" s="128">
        <f t="shared" si="0"/>
        <v>0</v>
      </c>
      <c r="H11" s="20">
        <v>0</v>
      </c>
      <c r="I11" s="20" t="b">
        <v>1</v>
      </c>
      <c r="J11" s="20"/>
      <c r="K11" s="20"/>
      <c r="L11" s="123"/>
      <c r="M11" s="123"/>
      <c r="N11" s="123"/>
      <c r="O11" s="123"/>
      <c r="P11" s="123"/>
      <c r="Q11" s="123"/>
      <c r="R11" s="123"/>
      <c r="S11" s="123"/>
    </row>
    <row r="12" spans="1:19" x14ac:dyDescent="0.3">
      <c r="A12" s="1"/>
      <c r="B12" s="57" t="s">
        <v>51</v>
      </c>
      <c r="C12" s="46">
        <v>20</v>
      </c>
      <c r="D12" s="53" t="s">
        <v>52</v>
      </c>
      <c r="E12" s="46" t="s">
        <v>43</v>
      </c>
      <c r="F12" s="88">
        <v>180000</v>
      </c>
      <c r="G12" s="128">
        <f t="shared" si="0"/>
        <v>18000</v>
      </c>
      <c r="H12" s="20">
        <v>18000</v>
      </c>
      <c r="I12" s="20" t="b">
        <v>0</v>
      </c>
      <c r="J12" s="20"/>
      <c r="K12" s="20"/>
      <c r="L12" s="123"/>
      <c r="M12" s="123"/>
      <c r="N12" s="123"/>
      <c r="O12" s="123"/>
      <c r="P12" s="123"/>
      <c r="Q12" s="123"/>
      <c r="R12" s="123"/>
      <c r="S12" s="123"/>
    </row>
    <row r="13" spans="1:19" x14ac:dyDescent="0.3">
      <c r="A13" s="1"/>
      <c r="B13" s="57" t="s">
        <v>53</v>
      </c>
      <c r="C13" s="46">
        <v>36</v>
      </c>
      <c r="D13" s="53" t="s">
        <v>38</v>
      </c>
      <c r="E13" s="46" t="s">
        <v>39</v>
      </c>
      <c r="F13" s="88">
        <v>250000</v>
      </c>
      <c r="G13" s="128">
        <f t="shared" si="0"/>
        <v>0</v>
      </c>
      <c r="H13" s="20">
        <v>0</v>
      </c>
      <c r="I13" s="20" t="b">
        <v>1</v>
      </c>
      <c r="J13" s="20"/>
      <c r="K13" s="20"/>
      <c r="L13" s="123"/>
      <c r="M13" s="123"/>
      <c r="N13" s="123"/>
      <c r="O13" s="123"/>
      <c r="P13" s="123"/>
      <c r="Q13" s="123"/>
      <c r="R13" s="123"/>
      <c r="S13" s="123"/>
    </row>
    <row r="14" spans="1:19" x14ac:dyDescent="0.3">
      <c r="A14" s="1"/>
      <c r="B14" s="57" t="s">
        <v>54</v>
      </c>
      <c r="C14" s="46">
        <v>40</v>
      </c>
      <c r="D14" s="53" t="s">
        <v>42</v>
      </c>
      <c r="E14" s="46" t="s">
        <v>189</v>
      </c>
      <c r="F14" s="88">
        <v>180000</v>
      </c>
      <c r="G14" s="128">
        <f t="shared" si="0"/>
        <v>18000</v>
      </c>
      <c r="H14" s="20">
        <v>0</v>
      </c>
      <c r="I14" s="20" t="b">
        <v>1</v>
      </c>
      <c r="J14" s="20"/>
      <c r="K14" s="20"/>
      <c r="L14" s="123"/>
      <c r="M14" s="123"/>
      <c r="N14" s="123"/>
      <c r="O14" s="123"/>
      <c r="P14" s="123"/>
      <c r="Q14" s="123"/>
      <c r="R14" s="123"/>
      <c r="S14" s="123"/>
    </row>
    <row r="15" spans="1:19" x14ac:dyDescent="0.3">
      <c r="A15" s="1"/>
      <c r="B15" s="57" t="s">
        <v>55</v>
      </c>
      <c r="C15" s="46">
        <v>45</v>
      </c>
      <c r="D15" s="53" t="s">
        <v>48</v>
      </c>
      <c r="E15" s="46" t="s">
        <v>49</v>
      </c>
      <c r="F15" s="88">
        <v>350000</v>
      </c>
      <c r="G15" s="128">
        <f t="shared" si="0"/>
        <v>35000</v>
      </c>
      <c r="H15" s="20">
        <v>35000</v>
      </c>
      <c r="I15" s="20" t="b">
        <v>0</v>
      </c>
      <c r="J15" s="20"/>
      <c r="K15" s="20"/>
      <c r="L15" s="123"/>
      <c r="M15" s="123"/>
      <c r="N15" s="123"/>
      <c r="O15" s="123"/>
      <c r="P15" s="123"/>
      <c r="Q15" s="123"/>
      <c r="R15" s="123"/>
      <c r="S15" s="123"/>
    </row>
    <row r="16" spans="1:19" ht="15" thickBot="1" x14ac:dyDescent="0.35">
      <c r="A16" s="1"/>
      <c r="B16" s="58" t="s">
        <v>56</v>
      </c>
      <c r="C16" s="47">
        <v>28</v>
      </c>
      <c r="D16" s="55" t="s">
        <v>46</v>
      </c>
      <c r="E16" s="47" t="s">
        <v>39</v>
      </c>
      <c r="F16" s="89">
        <v>250000</v>
      </c>
      <c r="G16" s="128">
        <f t="shared" si="0"/>
        <v>0</v>
      </c>
      <c r="H16" s="20">
        <v>0</v>
      </c>
      <c r="I16" s="20" t="b">
        <v>1</v>
      </c>
      <c r="J16" s="20"/>
      <c r="K16" s="20"/>
      <c r="L16" s="123"/>
      <c r="M16" s="123"/>
      <c r="N16" s="123"/>
      <c r="O16" s="123"/>
      <c r="P16" s="123"/>
      <c r="Q16" s="123"/>
      <c r="R16" s="123"/>
      <c r="S16" s="123"/>
    </row>
    <row r="17" spans="2:19" x14ac:dyDescent="0.3">
      <c r="B17" s="44"/>
      <c r="C17" s="45"/>
      <c r="D17" s="44"/>
      <c r="E17" s="45"/>
      <c r="F17" s="44"/>
      <c r="G17" s="45"/>
      <c r="H17" s="20"/>
      <c r="I17" s="20"/>
      <c r="J17" s="20"/>
      <c r="K17" s="20"/>
      <c r="L17" s="123"/>
      <c r="M17" s="123"/>
      <c r="N17" s="123"/>
      <c r="O17" s="123"/>
      <c r="P17" s="123"/>
      <c r="Q17" s="123"/>
      <c r="R17" s="123"/>
      <c r="S17" s="123"/>
    </row>
    <row r="18" spans="2:19" x14ac:dyDescent="0.3">
      <c r="B18" s="44"/>
      <c r="C18" s="45"/>
      <c r="D18" s="44"/>
      <c r="E18" s="45"/>
      <c r="F18" s="44"/>
      <c r="G18" s="45"/>
      <c r="H18" s="20"/>
      <c r="I18" s="20"/>
      <c r="J18" s="20"/>
      <c r="K18" s="20"/>
      <c r="L18" s="123"/>
      <c r="M18" s="123"/>
      <c r="N18" s="123"/>
      <c r="O18" s="123"/>
      <c r="P18" s="123"/>
      <c r="Q18" s="123"/>
      <c r="R18" s="123"/>
      <c r="S18" s="123"/>
    </row>
    <row r="19" spans="2:19" x14ac:dyDescent="0.3">
      <c r="B19" s="44"/>
      <c r="C19" s="45"/>
      <c r="D19" s="44"/>
      <c r="E19" s="45"/>
      <c r="F19" s="44"/>
      <c r="G19" s="4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3">
      <c r="B20" s="44"/>
      <c r="C20" s="45"/>
      <c r="D20" s="44"/>
      <c r="E20" s="45"/>
      <c r="F20" s="44"/>
      <c r="G20" s="4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30" x14ac:dyDescent="0.5">
      <c r="B21" s="31" t="s">
        <v>14</v>
      </c>
      <c r="C21" s="45"/>
      <c r="D21" s="44"/>
      <c r="E21" s="45"/>
      <c r="F21" s="44"/>
      <c r="G21" s="4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3">
      <c r="B22" s="44"/>
      <c r="C22" s="45"/>
      <c r="D22" s="44"/>
      <c r="E22" s="45"/>
      <c r="F22" s="44"/>
      <c r="G22" s="4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3">
      <c r="B23" s="44"/>
      <c r="C23" s="45"/>
      <c r="D23" s="44"/>
      <c r="E23" s="45"/>
      <c r="F23" s="44"/>
      <c r="G23" s="4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x14ac:dyDescent="0.3">
      <c r="B24" s="44"/>
      <c r="C24" s="45"/>
      <c r="D24" s="44"/>
      <c r="E24" s="45"/>
      <c r="F24" s="44"/>
      <c r="G24" s="4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3">
      <c r="B25" s="44"/>
      <c r="C25" s="45"/>
      <c r="D25" s="44"/>
      <c r="E25" s="45"/>
      <c r="F25" s="44"/>
      <c r="G25" s="4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x14ac:dyDescent="0.3">
      <c r="B26" s="44"/>
      <c r="C26" s="45"/>
      <c r="D26" s="44"/>
      <c r="E26" s="45"/>
      <c r="F26" s="44"/>
      <c r="G26" s="4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x14ac:dyDescent="0.3">
      <c r="B27" s="44"/>
      <c r="C27" s="45"/>
      <c r="D27" s="44"/>
      <c r="E27" s="45"/>
      <c r="F27" s="44"/>
      <c r="G27" s="4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44"/>
      <c r="C28" s="45"/>
      <c r="D28" s="44"/>
      <c r="E28" s="45"/>
      <c r="F28" s="44"/>
      <c r="G28" s="4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</sheetData>
  <mergeCells count="1">
    <mergeCell ref="B3:G4"/>
  </mergeCells>
  <pageMargins left="0.7" right="0.7" top="0.75" bottom="0.75" header="0.3" footer="0.3"/>
  <ignoredErrors>
    <ignoredError sqref="G7:G9 G10:G16" unlocked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8"/>
  <sheetViews>
    <sheetView workbookViewId="0">
      <selection activeCell="G7" sqref="G7:G16"/>
    </sheetView>
  </sheetViews>
  <sheetFormatPr baseColWidth="10" defaultRowHeight="14.4" x14ac:dyDescent="0.3"/>
  <cols>
    <col min="2" max="2" width="36.109375" customWidth="1"/>
    <col min="4" max="4" width="18.33203125" customWidth="1"/>
  </cols>
  <sheetData>
    <row r="1" spans="1:19" x14ac:dyDescent="0.3">
      <c r="A1" s="25" t="b">
        <v>1</v>
      </c>
      <c r="B1" s="25" t="b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" thickBot="1" x14ac:dyDescent="0.35">
      <c r="A2" s="1"/>
      <c r="B2" s="1"/>
      <c r="C2" s="1"/>
      <c r="D2" s="1"/>
      <c r="E2" s="1"/>
      <c r="F2" s="1"/>
      <c r="G2" s="1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spans="1:19" x14ac:dyDescent="0.3">
      <c r="A3" s="1"/>
      <c r="B3" s="132" t="s">
        <v>30</v>
      </c>
      <c r="C3" s="133"/>
      <c r="D3" s="133"/>
      <c r="E3" s="133"/>
      <c r="F3" s="133"/>
      <c r="G3" s="134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spans="1:19" ht="15" thickBot="1" x14ac:dyDescent="0.35">
      <c r="A4" s="1"/>
      <c r="B4" s="135"/>
      <c r="C4" s="136"/>
      <c r="D4" s="136"/>
      <c r="E4" s="136"/>
      <c r="F4" s="136"/>
      <c r="G4" s="137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spans="1:19" ht="15" thickBot="1" x14ac:dyDescent="0.35">
      <c r="A5" s="1"/>
      <c r="B5" s="44"/>
      <c r="C5" s="44"/>
      <c r="D5" s="44"/>
      <c r="E5" s="44"/>
      <c r="F5" s="44"/>
      <c r="G5" s="44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spans="1:19" ht="15" thickBot="1" x14ac:dyDescent="0.35">
      <c r="A6" s="1"/>
      <c r="B6" s="129" t="s">
        <v>31</v>
      </c>
      <c r="C6" s="130" t="s">
        <v>32</v>
      </c>
      <c r="D6" s="130" t="s">
        <v>33</v>
      </c>
      <c r="E6" s="130" t="s">
        <v>34</v>
      </c>
      <c r="F6" s="130" t="s">
        <v>35</v>
      </c>
      <c r="G6" s="131" t="s">
        <v>35</v>
      </c>
      <c r="H6" s="20"/>
      <c r="I6" s="20"/>
      <c r="J6" s="20"/>
      <c r="K6" s="123"/>
      <c r="L6" s="123"/>
      <c r="M6" s="123"/>
      <c r="N6" s="123"/>
      <c r="O6" s="123"/>
      <c r="P6" s="123"/>
      <c r="Q6" s="123"/>
      <c r="R6" s="123"/>
      <c r="S6" s="123"/>
    </row>
    <row r="7" spans="1:19" x14ac:dyDescent="0.3">
      <c r="A7" s="1"/>
      <c r="B7" s="124" t="s">
        <v>37</v>
      </c>
      <c r="C7" s="125">
        <v>40</v>
      </c>
      <c r="D7" s="126" t="s">
        <v>38</v>
      </c>
      <c r="E7" s="125" t="s">
        <v>39</v>
      </c>
      <c r="F7" s="127">
        <v>250000</v>
      </c>
      <c r="G7" s="128">
        <f>+IF(AND(C7&gt;=40,E7=$E$8),10%*F7,5%*F7)</f>
        <v>12500</v>
      </c>
      <c r="H7" s="20">
        <v>12500</v>
      </c>
      <c r="I7" s="20" t="b">
        <v>0</v>
      </c>
      <c r="J7" s="20"/>
      <c r="K7" s="123"/>
      <c r="L7" s="123"/>
      <c r="M7" s="123"/>
      <c r="N7" s="123"/>
      <c r="O7" s="123"/>
      <c r="P7" s="123"/>
      <c r="Q7" s="123"/>
      <c r="R7" s="123"/>
      <c r="S7" s="123"/>
    </row>
    <row r="8" spans="1:19" x14ac:dyDescent="0.3">
      <c r="A8" s="1"/>
      <c r="B8" s="57" t="s">
        <v>41</v>
      </c>
      <c r="C8" s="46">
        <v>35</v>
      </c>
      <c r="D8" s="53" t="s">
        <v>42</v>
      </c>
      <c r="E8" s="46" t="s">
        <v>43</v>
      </c>
      <c r="F8" s="88">
        <v>180000</v>
      </c>
      <c r="G8" s="128">
        <f t="shared" ref="G8:G16" si="0">+IF(AND(C8&gt;=40,E8=$E$8),10%*F8,5%*F8)</f>
        <v>9000</v>
      </c>
      <c r="H8" s="20">
        <v>9000</v>
      </c>
      <c r="I8" s="20" t="b">
        <v>0</v>
      </c>
      <c r="J8" s="20"/>
      <c r="K8" s="123"/>
      <c r="L8" s="123"/>
      <c r="M8" s="123"/>
      <c r="N8" s="123"/>
      <c r="O8" s="123"/>
      <c r="P8" s="123"/>
      <c r="Q8" s="123"/>
      <c r="R8" s="123"/>
      <c r="S8" s="123"/>
    </row>
    <row r="9" spans="1:19" x14ac:dyDescent="0.3">
      <c r="A9" s="1"/>
      <c r="B9" s="57" t="s">
        <v>45</v>
      </c>
      <c r="C9" s="46">
        <v>42</v>
      </c>
      <c r="D9" s="53" t="s">
        <v>46</v>
      </c>
      <c r="E9" s="46" t="s">
        <v>43</v>
      </c>
      <c r="F9" s="88">
        <v>180000</v>
      </c>
      <c r="G9" s="128">
        <f t="shared" si="0"/>
        <v>18000</v>
      </c>
      <c r="H9" s="20">
        <v>18000</v>
      </c>
      <c r="I9" s="20" t="b">
        <v>0</v>
      </c>
      <c r="J9" s="20"/>
      <c r="K9" s="123"/>
      <c r="L9" s="123"/>
      <c r="M9" s="123"/>
      <c r="N9" s="123"/>
      <c r="O9" s="123"/>
      <c r="P9" s="123"/>
      <c r="Q9" s="123"/>
      <c r="R9" s="123"/>
      <c r="S9" s="123"/>
    </row>
    <row r="10" spans="1:19" x14ac:dyDescent="0.3">
      <c r="A10" s="1"/>
      <c r="B10" s="57" t="s">
        <v>47</v>
      </c>
      <c r="C10" s="46">
        <v>35</v>
      </c>
      <c r="D10" s="53" t="s">
        <v>48</v>
      </c>
      <c r="E10" s="46" t="s">
        <v>49</v>
      </c>
      <c r="F10" s="88">
        <v>350000</v>
      </c>
      <c r="G10" s="128">
        <f t="shared" si="0"/>
        <v>17500</v>
      </c>
      <c r="H10" s="20">
        <v>17500</v>
      </c>
      <c r="I10" s="20" t="b">
        <v>0</v>
      </c>
      <c r="J10" s="20"/>
      <c r="K10" s="123"/>
      <c r="L10" s="123"/>
      <c r="M10" s="123"/>
      <c r="N10" s="123"/>
      <c r="O10" s="123"/>
      <c r="P10" s="123"/>
      <c r="Q10" s="123"/>
      <c r="R10" s="123"/>
      <c r="S10" s="123"/>
    </row>
    <row r="11" spans="1:19" x14ac:dyDescent="0.3">
      <c r="A11" s="1"/>
      <c r="B11" s="57" t="s">
        <v>190</v>
      </c>
      <c r="C11" s="46">
        <v>23</v>
      </c>
      <c r="D11" s="53" t="s">
        <v>42</v>
      </c>
      <c r="E11" s="46" t="s">
        <v>39</v>
      </c>
      <c r="F11" s="88">
        <v>250000</v>
      </c>
      <c r="G11" s="128">
        <f t="shared" si="0"/>
        <v>12500</v>
      </c>
      <c r="H11" s="20">
        <v>12500</v>
      </c>
      <c r="I11" s="20" t="b">
        <v>0</v>
      </c>
      <c r="J11" s="20"/>
      <c r="K11" s="123"/>
      <c r="L11" s="123"/>
      <c r="M11" s="123"/>
      <c r="N11" s="123"/>
      <c r="O11" s="123"/>
      <c r="P11" s="123"/>
      <c r="Q11" s="123"/>
      <c r="R11" s="123"/>
      <c r="S11" s="123"/>
    </row>
    <row r="12" spans="1:19" x14ac:dyDescent="0.3">
      <c r="A12" s="1"/>
      <c r="B12" s="57" t="s">
        <v>51</v>
      </c>
      <c r="C12" s="46">
        <v>20</v>
      </c>
      <c r="D12" s="53" t="s">
        <v>52</v>
      </c>
      <c r="E12" s="46" t="s">
        <v>43</v>
      </c>
      <c r="F12" s="88">
        <v>180000</v>
      </c>
      <c r="G12" s="128">
        <f t="shared" si="0"/>
        <v>9000</v>
      </c>
      <c r="H12" s="20">
        <v>9000</v>
      </c>
      <c r="I12" s="20" t="b">
        <v>0</v>
      </c>
      <c r="J12" s="20"/>
      <c r="K12" s="123"/>
      <c r="L12" s="123"/>
      <c r="M12" s="123"/>
      <c r="N12" s="123"/>
      <c r="O12" s="123"/>
      <c r="P12" s="123"/>
      <c r="Q12" s="123"/>
      <c r="R12" s="123"/>
      <c r="S12" s="123"/>
    </row>
    <row r="13" spans="1:19" x14ac:dyDescent="0.3">
      <c r="A13" s="1"/>
      <c r="B13" s="57" t="s">
        <v>53</v>
      </c>
      <c r="C13" s="46">
        <v>36</v>
      </c>
      <c r="D13" s="53" t="s">
        <v>38</v>
      </c>
      <c r="E13" s="46" t="s">
        <v>39</v>
      </c>
      <c r="F13" s="88">
        <v>250000</v>
      </c>
      <c r="G13" s="128">
        <f t="shared" si="0"/>
        <v>12500</v>
      </c>
      <c r="H13" s="20">
        <v>12500</v>
      </c>
      <c r="I13" s="20" t="b">
        <v>0</v>
      </c>
      <c r="J13" s="20"/>
      <c r="K13" s="123"/>
      <c r="L13" s="123"/>
      <c r="M13" s="123"/>
      <c r="N13" s="123"/>
      <c r="O13" s="123"/>
      <c r="P13" s="123"/>
      <c r="Q13" s="123"/>
      <c r="R13" s="123"/>
      <c r="S13" s="123"/>
    </row>
    <row r="14" spans="1:19" x14ac:dyDescent="0.3">
      <c r="A14" s="1"/>
      <c r="B14" s="57" t="s">
        <v>54</v>
      </c>
      <c r="C14" s="46">
        <v>40</v>
      </c>
      <c r="D14" s="53" t="s">
        <v>42</v>
      </c>
      <c r="E14" s="46" t="s">
        <v>43</v>
      </c>
      <c r="F14" s="88">
        <v>180000</v>
      </c>
      <c r="G14" s="128">
        <f t="shared" si="0"/>
        <v>18000</v>
      </c>
      <c r="H14" s="20">
        <v>18000</v>
      </c>
      <c r="I14" s="20" t="b">
        <v>0</v>
      </c>
      <c r="J14" s="20"/>
      <c r="K14" s="123"/>
      <c r="L14" s="123"/>
      <c r="M14" s="123"/>
      <c r="N14" s="123"/>
      <c r="O14" s="123"/>
      <c r="P14" s="123"/>
      <c r="Q14" s="123"/>
      <c r="R14" s="123"/>
      <c r="S14" s="123"/>
    </row>
    <row r="15" spans="1:19" x14ac:dyDescent="0.3">
      <c r="A15" s="1"/>
      <c r="B15" s="57" t="s">
        <v>55</v>
      </c>
      <c r="C15" s="46">
        <v>45</v>
      </c>
      <c r="D15" s="53" t="s">
        <v>48</v>
      </c>
      <c r="E15" s="46" t="s">
        <v>49</v>
      </c>
      <c r="F15" s="88">
        <v>350000</v>
      </c>
      <c r="G15" s="128">
        <f t="shared" si="0"/>
        <v>17500</v>
      </c>
      <c r="H15" s="20">
        <v>17500</v>
      </c>
      <c r="I15" s="20" t="b">
        <v>0</v>
      </c>
      <c r="J15" s="20"/>
      <c r="K15" s="123"/>
      <c r="L15" s="123"/>
      <c r="M15" s="123"/>
      <c r="N15" s="123"/>
      <c r="O15" s="123"/>
      <c r="P15" s="123"/>
      <c r="Q15" s="123"/>
      <c r="R15" s="123"/>
      <c r="S15" s="123"/>
    </row>
    <row r="16" spans="1:19" ht="15" thickBot="1" x14ac:dyDescent="0.35">
      <c r="A16" s="1"/>
      <c r="B16" s="58" t="s">
        <v>56</v>
      </c>
      <c r="C16" s="47">
        <v>28</v>
      </c>
      <c r="D16" s="55" t="s">
        <v>46</v>
      </c>
      <c r="E16" s="47" t="s">
        <v>39</v>
      </c>
      <c r="F16" s="89">
        <v>250000</v>
      </c>
      <c r="G16" s="128">
        <f t="shared" si="0"/>
        <v>12500</v>
      </c>
      <c r="H16" s="20">
        <v>12500</v>
      </c>
      <c r="I16" s="20" t="b">
        <v>0</v>
      </c>
      <c r="J16" s="20"/>
      <c r="K16" s="123"/>
      <c r="L16" s="123"/>
      <c r="M16" s="123"/>
      <c r="N16" s="123"/>
      <c r="O16" s="123"/>
      <c r="P16" s="123"/>
      <c r="Q16" s="123"/>
      <c r="R16" s="123"/>
      <c r="S16" s="123"/>
    </row>
    <row r="17" spans="2:19" x14ac:dyDescent="0.3">
      <c r="B17" s="44"/>
      <c r="C17" s="45"/>
      <c r="D17" s="44"/>
      <c r="E17" s="45"/>
      <c r="F17" s="44"/>
      <c r="G17" s="45"/>
      <c r="H17" s="20"/>
      <c r="I17" s="20"/>
      <c r="J17" s="20"/>
      <c r="K17" s="123"/>
      <c r="L17" s="123"/>
      <c r="M17" s="123"/>
      <c r="N17" s="123"/>
      <c r="O17" s="123"/>
      <c r="P17" s="123"/>
      <c r="Q17" s="123"/>
      <c r="R17" s="123"/>
      <c r="S17" s="123"/>
    </row>
    <row r="18" spans="2:19" x14ac:dyDescent="0.3">
      <c r="B18" s="44"/>
      <c r="C18" s="45"/>
      <c r="D18" s="44"/>
      <c r="E18" s="45"/>
      <c r="F18" s="44"/>
      <c r="G18" s="45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</row>
    <row r="19" spans="2:19" x14ac:dyDescent="0.3">
      <c r="B19" s="44"/>
      <c r="C19" s="45"/>
      <c r="D19" s="44"/>
      <c r="E19" s="45"/>
      <c r="F19" s="44"/>
      <c r="G19" s="4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3">
      <c r="B20" s="44"/>
      <c r="C20" s="45"/>
      <c r="D20" s="44"/>
      <c r="E20" s="45"/>
      <c r="F20" s="44"/>
      <c r="G20" s="4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30" x14ac:dyDescent="0.5">
      <c r="B21" s="31" t="s">
        <v>14</v>
      </c>
      <c r="C21" s="45"/>
      <c r="D21" s="44"/>
      <c r="E21" s="45"/>
      <c r="F21" s="44"/>
      <c r="G21" s="4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3">
      <c r="B22" s="44"/>
      <c r="C22" s="45"/>
      <c r="D22" s="44"/>
      <c r="E22" s="45"/>
      <c r="F22" s="44"/>
      <c r="G22" s="4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3">
      <c r="B23" s="44"/>
      <c r="C23" s="45"/>
      <c r="D23" s="44"/>
      <c r="E23" s="45"/>
      <c r="F23" s="44"/>
      <c r="G23" s="4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x14ac:dyDescent="0.3">
      <c r="B24" s="44"/>
      <c r="C24" s="45"/>
      <c r="D24" s="44"/>
      <c r="E24" s="45"/>
      <c r="F24" s="44"/>
      <c r="G24" s="4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3">
      <c r="B25" s="44"/>
      <c r="C25" s="45"/>
      <c r="D25" s="44"/>
      <c r="E25" s="45"/>
      <c r="F25" s="44"/>
      <c r="G25" s="4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x14ac:dyDescent="0.3">
      <c r="B26" s="44"/>
      <c r="C26" s="45"/>
      <c r="D26" s="44"/>
      <c r="E26" s="45"/>
      <c r="F26" s="44"/>
      <c r="G26" s="4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x14ac:dyDescent="0.3">
      <c r="B27" s="44"/>
      <c r="C27" s="45"/>
      <c r="D27" s="44"/>
      <c r="E27" s="45"/>
      <c r="F27" s="44"/>
      <c r="G27" s="4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44"/>
      <c r="C28" s="45"/>
      <c r="D28" s="44"/>
      <c r="E28" s="45"/>
      <c r="F28" s="44"/>
      <c r="G28" s="4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</sheetData>
  <mergeCells count="1">
    <mergeCell ref="B3:G4"/>
  </mergeCells>
  <pageMargins left="0.7" right="0.7" top="0.75" bottom="0.75" header="0.3" footer="0.3"/>
  <ignoredErrors>
    <ignoredError sqref="G7:G16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Hoja2</vt:lpstr>
      <vt:lpstr>Hoja3</vt:lpstr>
      <vt:lpstr>Hoja4</vt:lpstr>
      <vt:lpstr>Hoja5</vt:lpstr>
      <vt:lpstr>Hoja6</vt:lpstr>
      <vt:lpstr>Hoja7</vt:lpstr>
      <vt:lpstr>Hoja9</vt:lpstr>
      <vt:lpstr>Hoja8</vt:lpstr>
      <vt:lpstr>Hoja10</vt:lpstr>
      <vt:lpstr>Hoja11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Flores</dc:creator>
  <cp:lastModifiedBy>Pinkie G</cp:lastModifiedBy>
  <dcterms:created xsi:type="dcterms:W3CDTF">2016-04-21T15:10:01Z</dcterms:created>
  <dcterms:modified xsi:type="dcterms:W3CDTF">2026-04-19T21:09:27Z</dcterms:modified>
</cp:coreProperties>
</file>