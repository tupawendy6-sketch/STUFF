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xl/comments4.xml" ContentType="application/vnd.openxmlformats-officedocument.spreadsheetml.comments+xml"/>
  <Override PartName="/xl/drawings/drawing17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CF08A9D7-AD7D-4731-9669-AE57740B4ABC}" xr6:coauthVersionLast="47" xr6:coauthVersionMax="47" xr10:uidLastSave="{00000000-0000-0000-0000-000000000000}"/>
  <bookViews>
    <workbookView xWindow="-108" yWindow="-108" windowWidth="23256" windowHeight="13896" firstSheet="10" activeTab="13" xr2:uid="{00000000-000D-0000-FFFF-FFFF00000000}"/>
  </bookViews>
  <sheets>
    <sheet name="MENU" sheetId="28" r:id="rId1"/>
    <sheet name="ERROR EN LOS DATOS" sheetId="21" r:id="rId2"/>
    <sheet name="FUNCIONES" sheetId="20" r:id="rId3"/>
    <sheet name="TIPOS DE FUNCIONES" sheetId="2" r:id="rId4"/>
    <sheet name="CALCULO HORAS TRAB" sheetId="23" r:id="rId5"/>
    <sheet name="Resuelva" sheetId="24" r:id="rId6"/>
    <sheet name="FUNCION FECHA HOY" sheetId="9" r:id="rId7"/>
    <sheet name="FUNCION FECHA DIAS1" sheetId="11" r:id="rId8"/>
    <sheet name="PRACTICA FUNCION FECHA" sheetId="12" r:id="rId9"/>
    <sheet name="FUNCION MAT_EST" sheetId="22" r:id="rId10"/>
    <sheet name="FUNCION MAT_EST (2)" sheetId="25" r:id="rId11"/>
    <sheet name="FUNCION MAT_EST (3)" sheetId="26" r:id="rId12"/>
    <sheet name="FUNCION MAT_EST (4)" sheetId="27" r:id="rId13"/>
    <sheet name="FUNCION MATEMATICA" sheetId="13" r:id="rId14"/>
    <sheet name="FUNCION ESTADISTICA" sheetId="14" r:id="rId15"/>
    <sheet name="PRACTICA FUNCION M Y E" sheetId="15" r:id="rId16"/>
    <sheet name="FUNCION TEXTO" sheetId="19" r:id="rId17"/>
    <sheet name="PRACTICA FUNCION TEXTO" sheetId="16" r:id="rId18"/>
    <sheet name="FUNCION LOGICA" sheetId="17" r:id="rId19"/>
    <sheet name="PRACTICA FUNCION LOGICA" sheetId="18" r:id="rId20"/>
  </sheets>
  <externalReferences>
    <externalReference r:id="rId21"/>
    <externalReference r:id="rId22"/>
  </externalReferences>
  <definedNames>
    <definedName name="_xlnm._FilterDatabase" localSheetId="14" hidden="1">'FUNCION ESTADISTICA'!$A$5:$E$443</definedName>
    <definedName name="_xlnm._FilterDatabase" localSheetId="6" hidden="1">'FUNCION FECHA HOY'!#REF!</definedName>
    <definedName name="_xlnm._FilterDatabase" localSheetId="9" hidden="1">'FUNCION MAT_EST'!$A$4:$F$16</definedName>
    <definedName name="_xlnm._FilterDatabase" localSheetId="10" hidden="1">'FUNCION MAT_EST (2)'!$A$4:$F$16</definedName>
    <definedName name="_xlnm._FilterDatabase" localSheetId="11" hidden="1">'FUNCION MAT_EST (3)'!$A$4:$F$16</definedName>
    <definedName name="_xlnm._FilterDatabase" localSheetId="12" hidden="1">'FUNCION MAT_EST (4)'!$A$4:$F$16</definedName>
    <definedName name="_xlnm._FilterDatabase" localSheetId="13" hidden="1">'FUNCION MATEMATICA'!$B$5:$F$443</definedName>
    <definedName name="_xlnm._FilterDatabase" localSheetId="15" hidden="1">'PRACTICA FUNCION M Y E'!$A$2:$F$144</definedName>
    <definedName name="_Toc229936408" localSheetId="1">'ERROR EN LOS DATOS'!$A$1</definedName>
    <definedName name="Articulos">'[1]lista desplegable'!$B$14:$B$20</definedName>
    <definedName name="aulanet" localSheetId="1">#REF!</definedName>
    <definedName name="aulanet" localSheetId="9">#REF!</definedName>
    <definedName name="aulanet" localSheetId="10">#REF!</definedName>
    <definedName name="aulanet" localSheetId="11">#REF!</definedName>
    <definedName name="aulanet" localSheetId="12">#REF!</definedName>
    <definedName name="aulanet">#REF!</definedName>
    <definedName name="BudgetTab" localSheetId="1">#REF!</definedName>
    <definedName name="BudgetTab" localSheetId="9">#REF!</definedName>
    <definedName name="BudgetTab" localSheetId="10">#REF!</definedName>
    <definedName name="BudgetTab" localSheetId="11">#REF!</definedName>
    <definedName name="BudgetTab" localSheetId="12">#REF!</definedName>
    <definedName name="BudgetTab">#REF!</definedName>
    <definedName name="nombre" localSheetId="1">#REF!</definedName>
    <definedName name="nombre" localSheetId="9">#REF!</definedName>
    <definedName name="nombre" localSheetId="10">#REF!</definedName>
    <definedName name="nombre" localSheetId="11">#REF!</definedName>
    <definedName name="nombre" localSheetId="12">#REF!</definedName>
    <definedName name="nombre">#REF!</definedName>
    <definedName name="nombres" localSheetId="1">#REF!</definedName>
    <definedName name="nombres" localSheetId="9">#REF!</definedName>
    <definedName name="nombres" localSheetId="10">#REF!</definedName>
    <definedName name="nombres" localSheetId="11">#REF!</definedName>
    <definedName name="nombres" localSheetId="12">#REF!</definedName>
    <definedName name="nombres">#REF!</definedName>
    <definedName name="Precios_Ventas">'[2]Ejemplo-nombre'!$B$13:$B$18</definedName>
    <definedName name="Total_Ventas">'[2]Ejemplo-nombre'!$B$19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10" i="16"/>
  <c r="D41" i="18" a="1"/>
  <c r="D41" i="18"/>
  <c r="D42" i="18" a="1"/>
  <c r="D42" i="18"/>
  <c r="D43" i="18" a="1"/>
  <c r="D43" i="18"/>
  <c r="D44" i="18" a="1"/>
  <c r="D44" i="18"/>
  <c r="D45" i="18" a="1"/>
  <c r="D45" i="18"/>
  <c r="D46" i="18" a="1"/>
  <c r="D46" i="18"/>
  <c r="D47" i="18" a="1"/>
  <c r="D47" i="18"/>
  <c r="D48" i="18" a="1"/>
  <c r="D48" i="18"/>
  <c r="D49" i="18" a="1"/>
  <c r="D49" i="18"/>
  <c r="D40" i="18" a="1"/>
  <c r="D40" i="18" s="1"/>
  <c r="H36" i="18" l="1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17" i="18"/>
  <c r="H2" i="18"/>
  <c r="H3" i="18"/>
  <c r="H4" i="18"/>
  <c r="H5" i="18"/>
  <c r="H6" i="18"/>
  <c r="H8" i="18"/>
  <c r="H9" i="18"/>
  <c r="H10" i="18"/>
  <c r="H11" i="18"/>
  <c r="H12" i="18"/>
  <c r="H13" i="18"/>
  <c r="H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17" i="18"/>
  <c r="E41" i="18"/>
  <c r="E42" i="18"/>
  <c r="E43" i="18"/>
  <c r="E44" i="18"/>
  <c r="E45" i="18"/>
  <c r="E46" i="18"/>
  <c r="E47" i="18"/>
  <c r="E48" i="18"/>
  <c r="E49" i="18"/>
  <c r="E40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17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17" i="18"/>
  <c r="E18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17" i="18"/>
  <c r="H40" i="17"/>
  <c r="H41" i="17"/>
  <c r="H42" i="17"/>
  <c r="H43" i="17"/>
  <c r="H39" i="17"/>
  <c r="H29" i="17"/>
  <c r="H30" i="17"/>
  <c r="H31" i="17"/>
  <c r="H32" i="17"/>
  <c r="H33" i="17"/>
  <c r="I22" i="17"/>
  <c r="I23" i="17"/>
  <c r="I24" i="17"/>
  <c r="I21" i="17"/>
  <c r="H22" i="17"/>
  <c r="H23" i="17"/>
  <c r="H24" i="17"/>
  <c r="H21" i="17"/>
  <c r="I16" i="17"/>
  <c r="I17" i="17"/>
  <c r="I18" i="17"/>
  <c r="I15" i="17"/>
  <c r="H16" i="17"/>
  <c r="H17" i="17"/>
  <c r="H18" i="17"/>
  <c r="H15" i="17"/>
  <c r="G16" i="17"/>
  <c r="G17" i="17"/>
  <c r="G18" i="17"/>
  <c r="G15" i="17"/>
  <c r="C33" i="17"/>
  <c r="C34" i="17"/>
  <c r="C35" i="17"/>
  <c r="C36" i="17"/>
  <c r="C32" i="17"/>
  <c r="C26" i="17"/>
  <c r="C27" i="17"/>
  <c r="C28" i="17"/>
  <c r="C29" i="17"/>
  <c r="C25" i="17"/>
  <c r="C16" i="17"/>
  <c r="C17" i="17"/>
  <c r="C18" i="17"/>
  <c r="C19" i="17"/>
  <c r="C20" i="17"/>
  <c r="C21" i="17"/>
  <c r="C22" i="17"/>
  <c r="C15" i="17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10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10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10" i="19"/>
  <c r="T6" i="15"/>
  <c r="T7" i="15"/>
  <c r="T8" i="15"/>
  <c r="T9" i="15"/>
  <c r="T5" i="15"/>
  <c r="S6" i="15"/>
  <c r="S7" i="15"/>
  <c r="S8" i="15"/>
  <c r="S9" i="15"/>
  <c r="S5" i="15"/>
  <c r="R6" i="15"/>
  <c r="R7" i="15"/>
  <c r="R8" i="15"/>
  <c r="R9" i="15"/>
  <c r="R5" i="15"/>
  <c r="L20" i="15"/>
  <c r="L21" i="15"/>
  <c r="L22" i="15"/>
  <c r="L23" i="15"/>
  <c r="L24" i="15"/>
  <c r="L25" i="15"/>
  <c r="L26" i="15"/>
  <c r="L27" i="15"/>
  <c r="L19" i="15"/>
  <c r="K20" i="15"/>
  <c r="K21" i="15"/>
  <c r="K22" i="15"/>
  <c r="K23" i="15"/>
  <c r="K24" i="15"/>
  <c r="K25" i="15"/>
  <c r="K26" i="15"/>
  <c r="K27" i="15"/>
  <c r="K19" i="15"/>
  <c r="L12" i="15"/>
  <c r="L13" i="15"/>
  <c r="L14" i="15"/>
  <c r="L11" i="15"/>
  <c r="K12" i="15"/>
  <c r="K13" i="15"/>
  <c r="K14" i="15"/>
  <c r="K11" i="15"/>
  <c r="L4" i="15"/>
  <c r="L5" i="15"/>
  <c r="L6" i="15"/>
  <c r="L7" i="15"/>
  <c r="K5" i="15"/>
  <c r="K6" i="15"/>
  <c r="K7" i="15"/>
  <c r="K4" i="15"/>
  <c r="J15" i="14"/>
  <c r="J27" i="14"/>
  <c r="J24" i="14"/>
  <c r="J21" i="14"/>
  <c r="J18" i="14"/>
  <c r="J12" i="14"/>
  <c r="J9" i="14"/>
  <c r="J6" i="14"/>
  <c r="K21" i="13"/>
  <c r="K27" i="13"/>
  <c r="K24" i="13"/>
  <c r="K18" i="13"/>
  <c r="K15" i="13"/>
  <c r="K12" i="13"/>
  <c r="K9" i="13"/>
  <c r="K6" i="13"/>
  <c r="G18" i="25"/>
  <c r="H17" i="25"/>
  <c r="B17" i="27"/>
  <c r="C17" i="27"/>
  <c r="D17" i="27"/>
  <c r="B18" i="27" s="1"/>
  <c r="E17" i="27"/>
  <c r="F17" i="27"/>
  <c r="C18" i="27" s="1"/>
  <c r="G5" i="27"/>
  <c r="H12" i="27" s="1"/>
  <c r="G6" i="27"/>
  <c r="G22" i="27" s="1"/>
  <c r="G7" i="27"/>
  <c r="H16" i="27" s="1"/>
  <c r="G8" i="27"/>
  <c r="H5" i="27" s="1"/>
  <c r="G9" i="27"/>
  <c r="H6" i="27" s="1"/>
  <c r="G10" i="27"/>
  <c r="H10" i="27" s="1"/>
  <c r="G11" i="27"/>
  <c r="H8" i="27" s="1"/>
  <c r="G12" i="27"/>
  <c r="G13" i="27"/>
  <c r="G14" i="27"/>
  <c r="G15" i="27"/>
  <c r="G16" i="27"/>
  <c r="G17" i="27"/>
  <c r="H17" i="27" s="1"/>
  <c r="G20" i="22"/>
  <c r="G21" i="22"/>
  <c r="G22" i="22"/>
  <c r="G20" i="25"/>
  <c r="G21" i="25"/>
  <c r="G22" i="25"/>
  <c r="G20" i="26"/>
  <c r="G21" i="26"/>
  <c r="G22" i="26"/>
  <c r="C20" i="27"/>
  <c r="D20" i="27"/>
  <c r="E20" i="27"/>
  <c r="F20" i="27"/>
  <c r="C21" i="27"/>
  <c r="D21" i="27"/>
  <c r="E21" i="27"/>
  <c r="F21" i="27"/>
  <c r="C22" i="27"/>
  <c r="D22" i="27"/>
  <c r="E22" i="27"/>
  <c r="F22" i="27"/>
  <c r="B22" i="27"/>
  <c r="B21" i="27"/>
  <c r="B20" i="27"/>
  <c r="C20" i="26"/>
  <c r="D20" i="26"/>
  <c r="E20" i="26"/>
  <c r="F20" i="26"/>
  <c r="C21" i="26"/>
  <c r="D21" i="26"/>
  <c r="E21" i="26"/>
  <c r="F21" i="26"/>
  <c r="C22" i="26"/>
  <c r="D22" i="26"/>
  <c r="E22" i="26"/>
  <c r="F22" i="26"/>
  <c r="B22" i="26"/>
  <c r="B21" i="26"/>
  <c r="B20" i="26"/>
  <c r="D18" i="27"/>
  <c r="E18" i="27"/>
  <c r="F18" i="27"/>
  <c r="H9" i="27"/>
  <c r="C20" i="25"/>
  <c r="D20" i="25"/>
  <c r="E20" i="25"/>
  <c r="F20" i="25"/>
  <c r="C21" i="25"/>
  <c r="D21" i="25"/>
  <c r="E21" i="25"/>
  <c r="F21" i="25"/>
  <c r="C22" i="25"/>
  <c r="D22" i="25"/>
  <c r="E22" i="25"/>
  <c r="F22" i="25"/>
  <c r="B22" i="25"/>
  <c r="B21" i="25"/>
  <c r="B20" i="25"/>
  <c r="C20" i="22"/>
  <c r="D20" i="22"/>
  <c r="E20" i="22"/>
  <c r="F20" i="22"/>
  <c r="C21" i="22"/>
  <c r="D21" i="22"/>
  <c r="E21" i="22"/>
  <c r="F21" i="22"/>
  <c r="C22" i="22"/>
  <c r="D22" i="22"/>
  <c r="E22" i="22"/>
  <c r="F22" i="22"/>
  <c r="B22" i="22"/>
  <c r="B21" i="22"/>
  <c r="B20" i="22"/>
  <c r="G18" i="26"/>
  <c r="H17" i="26"/>
  <c r="F18" i="26"/>
  <c r="B18" i="26"/>
  <c r="C18" i="26"/>
  <c r="D18" i="26"/>
  <c r="E18" i="26"/>
  <c r="H5" i="26"/>
  <c r="H6" i="26"/>
  <c r="H7" i="26"/>
  <c r="H8" i="26"/>
  <c r="H9" i="26"/>
  <c r="H10" i="26"/>
  <c r="H11" i="26"/>
  <c r="H12" i="26"/>
  <c r="H13" i="26"/>
  <c r="H14" i="26"/>
  <c r="H15" i="26"/>
  <c r="H16" i="26"/>
  <c r="B17" i="26"/>
  <c r="C17" i="26"/>
  <c r="D17" i="26"/>
  <c r="E17" i="26"/>
  <c r="F17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C18" i="25"/>
  <c r="D18" i="25"/>
  <c r="E18" i="25"/>
  <c r="F18" i="25"/>
  <c r="B18" i="25"/>
  <c r="H6" i="25"/>
  <c r="H7" i="25"/>
  <c r="H8" i="25"/>
  <c r="H9" i="25"/>
  <c r="H10" i="25"/>
  <c r="H11" i="25"/>
  <c r="H12" i="25"/>
  <c r="H13" i="25"/>
  <c r="H14" i="25"/>
  <c r="H15" i="25"/>
  <c r="H16" i="25"/>
  <c r="H5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B17" i="25"/>
  <c r="C17" i="25"/>
  <c r="D17" i="25"/>
  <c r="E17" i="25"/>
  <c r="F17" i="25"/>
  <c r="H17" i="22"/>
  <c r="G18" i="22"/>
  <c r="B18" i="22"/>
  <c r="C18" i="22"/>
  <c r="D18" i="22"/>
  <c r="E18" i="22"/>
  <c r="F18" i="22"/>
  <c r="H5" i="22"/>
  <c r="H6" i="22"/>
  <c r="H7" i="22"/>
  <c r="H8" i="22"/>
  <c r="H9" i="22"/>
  <c r="H10" i="22"/>
  <c r="H11" i="22"/>
  <c r="H12" i="22"/>
  <c r="H13" i="22"/>
  <c r="H14" i="22"/>
  <c r="H15" i="22"/>
  <c r="H16" i="22"/>
  <c r="B17" i="22"/>
  <c r="C17" i="22"/>
  <c r="D17" i="22"/>
  <c r="E17" i="22"/>
  <c r="F17" i="22"/>
  <c r="G17" i="22"/>
  <c r="G5" i="22"/>
  <c r="G6" i="22"/>
  <c r="G7" i="22"/>
  <c r="G8" i="22"/>
  <c r="G9" i="22"/>
  <c r="G10" i="22"/>
  <c r="G11" i="22"/>
  <c r="G12" i="22"/>
  <c r="G13" i="22"/>
  <c r="G14" i="22"/>
  <c r="G15" i="22"/>
  <c r="G16" i="22"/>
  <c r="D20" i="12"/>
  <c r="D19" i="12"/>
  <c r="D18" i="12"/>
  <c r="D14" i="12"/>
  <c r="D15" i="12"/>
  <c r="D9" i="12"/>
  <c r="D8" i="12"/>
  <c r="D7" i="12"/>
  <c r="D4" i="12"/>
  <c r="D3" i="12"/>
  <c r="F4" i="11"/>
  <c r="F5" i="11"/>
  <c r="F6" i="11"/>
  <c r="F7" i="11"/>
  <c r="F8" i="11"/>
  <c r="F9" i="11"/>
  <c r="F3" i="11"/>
  <c r="E4" i="11"/>
  <c r="E5" i="11"/>
  <c r="E6" i="11"/>
  <c r="E7" i="11"/>
  <c r="E8" i="11"/>
  <c r="E9" i="11"/>
  <c r="E3" i="11"/>
  <c r="D4" i="11"/>
  <c r="D5" i="11"/>
  <c r="D6" i="11"/>
  <c r="D7" i="11"/>
  <c r="D8" i="11"/>
  <c r="D9" i="11"/>
  <c r="D3" i="11"/>
  <c r="C24" i="9"/>
  <c r="C23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5" i="9"/>
  <c r="F6" i="9"/>
  <c r="H6" i="9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5" i="9"/>
  <c r="H5" i="9" s="1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5" i="9"/>
  <c r="D24" i="24"/>
  <c r="E24" i="24" s="1"/>
  <c r="F24" i="24" s="1"/>
  <c r="D25" i="24"/>
  <c r="E25" i="24" s="1"/>
  <c r="F25" i="24" s="1"/>
  <c r="D26" i="24"/>
  <c r="D27" i="24"/>
  <c r="D28" i="24"/>
  <c r="D29" i="24"/>
  <c r="D30" i="24"/>
  <c r="D31" i="24"/>
  <c r="D32" i="24"/>
  <c r="E32" i="24" s="1"/>
  <c r="F32" i="24" s="1"/>
  <c r="D33" i="24"/>
  <c r="E33" i="24" s="1"/>
  <c r="F33" i="24" s="1"/>
  <c r="D34" i="24"/>
  <c r="E34" i="24" s="1"/>
  <c r="F34" i="24" s="1"/>
  <c r="D35" i="24"/>
  <c r="E35" i="24" s="1"/>
  <c r="F35" i="24" s="1"/>
  <c r="D36" i="24"/>
  <c r="E36" i="24" s="1"/>
  <c r="F36" i="24" s="1"/>
  <c r="D23" i="24"/>
  <c r="E23" i="24" s="1"/>
  <c r="F23" i="24" s="1"/>
  <c r="F5" i="23"/>
  <c r="E31" i="24"/>
  <c r="F31" i="24" s="1"/>
  <c r="E30" i="24"/>
  <c r="F30" i="24" s="1"/>
  <c r="E29" i="24"/>
  <c r="F29" i="24" s="1"/>
  <c r="E28" i="24"/>
  <c r="F28" i="24" s="1"/>
  <c r="E27" i="24"/>
  <c r="F27" i="24" s="1"/>
  <c r="E26" i="24"/>
  <c r="F26" i="24" s="1"/>
  <c r="E11" i="24"/>
  <c r="F11" i="24" s="1"/>
  <c r="E12" i="24"/>
  <c r="F12" i="24" s="1"/>
  <c r="D5" i="24"/>
  <c r="E5" i="24" s="1"/>
  <c r="F5" i="24" s="1"/>
  <c r="D6" i="24"/>
  <c r="E6" i="24" s="1"/>
  <c r="F6" i="24" s="1"/>
  <c r="D7" i="24"/>
  <c r="E7" i="24" s="1"/>
  <c r="F7" i="24" s="1"/>
  <c r="D8" i="24"/>
  <c r="E8" i="24" s="1"/>
  <c r="F8" i="24" s="1"/>
  <c r="D9" i="24"/>
  <c r="E9" i="24" s="1"/>
  <c r="F9" i="24" s="1"/>
  <c r="D10" i="24"/>
  <c r="E10" i="24" s="1"/>
  <c r="F10" i="24" s="1"/>
  <c r="D11" i="24"/>
  <c r="D12" i="24"/>
  <c r="D13" i="24"/>
  <c r="E13" i="24" s="1"/>
  <c r="F13" i="24" s="1"/>
  <c r="D14" i="24"/>
  <c r="E14" i="24" s="1"/>
  <c r="F14" i="24" s="1"/>
  <c r="D15" i="24"/>
  <c r="E15" i="24" s="1"/>
  <c r="F15" i="24" s="1"/>
  <c r="D16" i="24"/>
  <c r="E16" i="24" s="1"/>
  <c r="F16" i="24" s="1"/>
  <c r="D17" i="24"/>
  <c r="E17" i="24" s="1"/>
  <c r="F17" i="24" s="1"/>
  <c r="D4" i="24"/>
  <c r="E4" i="24" s="1"/>
  <c r="F4" i="24" s="1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M5" i="23"/>
  <c r="O5" i="23"/>
  <c r="L5" i="23"/>
  <c r="H6" i="23"/>
  <c r="I6" i="23"/>
  <c r="J6" i="23"/>
  <c r="K6" i="23"/>
  <c r="H7" i="23"/>
  <c r="I7" i="23"/>
  <c r="J7" i="23"/>
  <c r="K7" i="23"/>
  <c r="H8" i="23"/>
  <c r="I8" i="23"/>
  <c r="J8" i="23"/>
  <c r="K8" i="23"/>
  <c r="H9" i="23"/>
  <c r="I9" i="23"/>
  <c r="J9" i="23"/>
  <c r="K9" i="23"/>
  <c r="H10" i="23"/>
  <c r="I10" i="23"/>
  <c r="J10" i="23"/>
  <c r="K10" i="23"/>
  <c r="H11" i="23"/>
  <c r="I11" i="23"/>
  <c r="J11" i="23"/>
  <c r="K11" i="23"/>
  <c r="H12" i="23"/>
  <c r="I12" i="23"/>
  <c r="J12" i="23"/>
  <c r="K12" i="23"/>
  <c r="H13" i="23"/>
  <c r="I13" i="23"/>
  <c r="J13" i="23"/>
  <c r="K13" i="23"/>
  <c r="H14" i="23"/>
  <c r="I14" i="23"/>
  <c r="J14" i="23"/>
  <c r="K14" i="23"/>
  <c r="H15" i="23"/>
  <c r="I15" i="23"/>
  <c r="J15" i="23"/>
  <c r="K15" i="23"/>
  <c r="H16" i="23"/>
  <c r="I16" i="23"/>
  <c r="J16" i="23"/>
  <c r="K16" i="23"/>
  <c r="H17" i="23"/>
  <c r="I17" i="23"/>
  <c r="J17" i="23"/>
  <c r="K17" i="23"/>
  <c r="H18" i="23"/>
  <c r="I18" i="23"/>
  <c r="J18" i="23"/>
  <c r="K18" i="23"/>
  <c r="I5" i="23"/>
  <c r="J5" i="23"/>
  <c r="N5" i="23" s="1"/>
  <c r="K5" i="23"/>
  <c r="H5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5" i="23"/>
  <c r="E27" i="21"/>
  <c r="E26" i="21"/>
  <c r="E24" i="21"/>
  <c r="E23" i="21"/>
  <c r="E22" i="21"/>
  <c r="H11" i="27" l="1"/>
  <c r="G18" i="27"/>
  <c r="H7" i="27"/>
  <c r="H15" i="27"/>
  <c r="H14" i="27"/>
  <c r="G21" i="27"/>
  <c r="H13" i="27"/>
  <c r="G20" i="27"/>
  <c r="C28" i="9"/>
  <c r="C26" i="9"/>
  <c r="C27" i="9"/>
  <c r="B28" i="9" s="1"/>
  <c r="C25" i="9"/>
  <c r="E25" i="21"/>
  <c r="J19" i="21" l="1"/>
  <c r="J20" i="21"/>
  <c r="E13" i="18" l="1"/>
  <c r="E12" i="18"/>
  <c r="E11" i="18"/>
  <c r="E10" i="18"/>
  <c r="E9" i="18"/>
  <c r="E8" i="18"/>
  <c r="E7" i="18"/>
  <c r="E6" i="18"/>
  <c r="E5" i="18"/>
  <c r="E4" i="18"/>
  <c r="E3" i="18"/>
  <c r="E2" i="18"/>
  <c r="G10" i="18" l="1"/>
  <c r="F10" i="18"/>
  <c r="G3" i="18"/>
  <c r="F3" i="18"/>
  <c r="G5" i="18"/>
  <c r="F5" i="18"/>
  <c r="G8" i="18"/>
  <c r="F8" i="18"/>
  <c r="G9" i="18"/>
  <c r="F9" i="18"/>
  <c r="G12" i="18"/>
  <c r="F12" i="18"/>
  <c r="G2" i="18"/>
  <c r="F2" i="18"/>
  <c r="G4" i="18"/>
  <c r="F4" i="18"/>
  <c r="G6" i="18"/>
  <c r="F6" i="18"/>
  <c r="G7" i="18"/>
  <c r="F7" i="18"/>
  <c r="G11" i="18"/>
  <c r="F11" i="18"/>
  <c r="G13" i="18"/>
  <c r="F13" i="18"/>
  <c r="F12" i="12"/>
  <c r="G12" i="12" s="1"/>
  <c r="H12" i="12" s="1"/>
  <c r="I12" i="12" s="1"/>
  <c r="J12" i="12" s="1"/>
  <c r="K12" i="12" s="1"/>
  <c r="L12" i="12" s="1"/>
  <c r="F13" i="12" s="1"/>
  <c r="G13" i="12" s="1"/>
  <c r="H13" i="12" s="1"/>
  <c r="I13" i="12" s="1"/>
  <c r="J13" i="12" s="1"/>
  <c r="K13" i="12" s="1"/>
  <c r="L13" i="12" s="1"/>
  <c r="F14" i="12" s="1"/>
  <c r="G14" i="12" s="1"/>
  <c r="H14" i="12" s="1"/>
  <c r="I14" i="12" s="1"/>
  <c r="J14" i="12" s="1"/>
  <c r="K14" i="12" s="1"/>
  <c r="L14" i="12" s="1"/>
  <c r="F15" i="12" s="1"/>
  <c r="G15" i="12" s="1"/>
  <c r="H15" i="12" s="1"/>
  <c r="I15" i="12" s="1"/>
  <c r="J15" i="12" s="1"/>
  <c r="K15" i="12" s="1"/>
  <c r="L15" i="12" s="1"/>
  <c r="F16" i="12" s="1"/>
  <c r="F4" i="12"/>
  <c r="G4" i="12" s="1"/>
  <c r="H4" i="12" s="1"/>
  <c r="I4" i="12" s="1"/>
  <c r="J4" i="12" s="1"/>
  <c r="K4" i="12" s="1"/>
  <c r="L4" i="12" s="1"/>
  <c r="F5" i="12" s="1"/>
  <c r="G5" i="12" s="1"/>
  <c r="H5" i="12" s="1"/>
  <c r="I5" i="12" s="1"/>
  <c r="J5" i="12" s="1"/>
  <c r="K5" i="12" s="1"/>
  <c r="L5" i="12" s="1"/>
  <c r="F6" i="12" s="1"/>
  <c r="G6" i="12" s="1"/>
  <c r="H6" i="12" s="1"/>
  <c r="I6" i="12" s="1"/>
  <c r="J6" i="12" s="1"/>
  <c r="K6" i="12" s="1"/>
  <c r="L6" i="12" s="1"/>
  <c r="F7" i="12" s="1"/>
  <c r="G7" i="12" s="1"/>
  <c r="H7" i="12" s="1"/>
  <c r="I7" i="12" s="1"/>
  <c r="J7" i="12" s="1"/>
  <c r="K7" i="12" s="1"/>
  <c r="G16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DIAS.LAB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DIAS.LAB.INTL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ordenar la base de datos de forma ascendente
insertar una columna y enuermerar la lista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9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ordenar la base de datos de forma ascendente
insertar una columna y enuermerar la lista
utilice una columna auxiliar para convertir 
los nombres con formato nompropio y posteriormente ubicarlos en el original</t>
        </r>
      </text>
    </comment>
    <comment ref="C9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Utilizar una columna auxiliar de manera tal que la cedula quede 
001-270161-0032L</t>
        </r>
      </text>
    </comment>
    <comment ref="E9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utilizar una columna auxiliar de manera tal que los departamentos queden Nompropio</t>
        </r>
      </text>
    </comment>
    <comment ref="G9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utilizar una columna auxiliar de manera tal que los CARGOS  queden Nompropio</t>
        </r>
      </text>
    </comment>
    <comment ref="J9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HERNANDEZ
realizar la combinaciones de funciones de texto de manera tal que el numero de carnet quede 
asi..       CONS-0161L-A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rojo si es femenino. Azul si es masculino
</t>
        </r>
      </text>
    </comment>
    <comment ref="G14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aprobado si la nota es mayor o igual a 70, reprobado en caso contrario</t>
        </r>
      </text>
    </comment>
    <comment ref="H14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 condicion es reprobado aplique 10, de lo contrario aplique nota completa</t>
        </r>
      </text>
    </comment>
    <comment ref="I14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 trabajo extra es igual a 10; suma de nota final y trabajo extra, al resto aplique la celda condicion
</t>
        </r>
      </text>
    </comment>
    <comment ref="H20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 pago es bcr precio por 15%: de lo contrario cero</t>
        </r>
      </text>
    </comment>
    <comment ref="I20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precio menos descuento
</t>
        </r>
      </text>
    </comment>
    <comment ref="C24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 derecho si pago, sin derecho en caso contrario</t>
        </r>
      </text>
    </comment>
    <comment ref="C3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 derecho a voto si la edad es mayor o igual a 16. sin derecho en caso contrario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Escribir APROBADO si la notas final es mayor o igual a 70; el resto  REPROBADO </t>
        </r>
      </text>
    </comment>
    <comment ref="G2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Escribir BECADO si los alumnos de Computación tienen Nota final de 90 o más, caso contrario dejar la celda vacía.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00000000-0006-0000-1200-000003000000}">
      <text>
        <r>
          <rPr>
            <b/>
            <sz val="8"/>
            <color indexed="81"/>
            <rFont val="Tahoma"/>
            <family val="2"/>
          </rPr>
          <t>Ver tabla.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Aplicar un incentivo de C$ 300 a las Secretarias.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Escribir 500 a los empleados que ganan  C$ 3,000 o menos, caso contrario escribir 100.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Aplicar el 20% del salario a las Afanadoras.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Aplicar C$ 500 a los Vigilantes que ganan menos de C$ 4,000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Aplicar el 20% del salario a los vigilantes y Secretarias, CASO CONTRARIO aplicar el 10% del salario.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" authorId="0" shapeId="0" xr:uid="{00000000-0006-0000-1200-000009000000}">
      <text>
        <r>
          <rPr>
            <b/>
            <sz val="8"/>
            <color indexed="81"/>
            <rFont val="Tahoma"/>
            <family val="2"/>
          </rPr>
          <t>Ver tabla.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0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Escribir CONTRATADO si en ambas pruebas obtuvo mayor o igual a 80, caso contrario escribir intentelo prox mes.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0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Escribir CONTRATADO si en al menos una de las pruebas obtuvo 80 o más, caso contrario escribir intentelo prox mes.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<sst xmlns="http://schemas.openxmlformats.org/spreadsheetml/2006/main" count="3356" uniqueCount="792">
  <si>
    <t>FUNCION</t>
  </si>
  <si>
    <t>RESP</t>
  </si>
  <si>
    <t>TIPOS DE FUNCIONES EN EXCEL</t>
  </si>
  <si>
    <t>LAS FUNCIONES FUERON CREADAS PARA LA NECESIDAD DE CADA USUARIO. 
CON PROPOSITO DISTINTO.</t>
  </si>
  <si>
    <r>
      <t xml:space="preserve">§  </t>
    </r>
    <r>
      <rPr>
        <b/>
        <sz val="14"/>
        <color rgb="FF000000"/>
        <rFont val="Batang"/>
        <family val="1"/>
      </rPr>
      <t>Registrar bases de datos</t>
    </r>
  </si>
  <si>
    <r>
      <t xml:space="preserve">§  </t>
    </r>
    <r>
      <rPr>
        <b/>
        <sz val="14"/>
        <color rgb="FF000000"/>
        <rFont val="Batang"/>
        <family val="1"/>
      </rPr>
      <t>Hacer cálculos matemáticos</t>
    </r>
  </si>
  <si>
    <r>
      <t xml:space="preserve">§  </t>
    </r>
    <r>
      <rPr>
        <b/>
        <sz val="14"/>
        <color rgb="FF000000"/>
        <rFont val="Batang"/>
        <family val="1"/>
      </rPr>
      <t>Seguimiento de ventas y gastos</t>
    </r>
  </si>
  <si>
    <r>
      <t xml:space="preserve">§  </t>
    </r>
    <r>
      <rPr>
        <b/>
        <sz val="14"/>
        <color rgb="FF000000"/>
        <rFont val="Batang"/>
        <family val="1"/>
      </rPr>
      <t>Seguimiento de inventarios y presupuestos</t>
    </r>
  </si>
  <si>
    <r>
      <t xml:space="preserve">§  </t>
    </r>
    <r>
      <rPr>
        <b/>
        <sz val="14"/>
        <color rgb="FF000000"/>
        <rFont val="Batang"/>
        <family val="1"/>
      </rPr>
      <t>Análisis de mercado y marketing</t>
    </r>
  </si>
  <si>
    <r>
      <t xml:space="preserve">§  </t>
    </r>
    <r>
      <rPr>
        <b/>
        <sz val="14"/>
        <color rgb="FF000000"/>
        <rFont val="Batang"/>
        <family val="1"/>
      </rPr>
      <t>Registro de la plantilla laboral</t>
    </r>
  </si>
  <si>
    <r>
      <t xml:space="preserve">§  </t>
    </r>
    <r>
      <rPr>
        <b/>
        <sz val="14"/>
        <color rgb="FF000000"/>
        <rFont val="Batang"/>
        <family val="1"/>
      </rPr>
      <t>Seguimiento de la nómina</t>
    </r>
  </si>
  <si>
    <r>
      <t xml:space="preserve">§  </t>
    </r>
    <r>
      <rPr>
        <b/>
        <sz val="14"/>
        <color rgb="FF000000"/>
        <rFont val="Batang"/>
        <family val="1"/>
      </rPr>
      <t>ETC,,,</t>
    </r>
  </si>
  <si>
    <t>FUNCIONES ESTADÍSTICAS</t>
  </si>
  <si>
    <t>CONDICIONALES (CONTAR. PROMEDIO) SI.CONJUNTO</t>
  </si>
  <si>
    <t>FUNCIONES MATEMÁTICAS</t>
  </si>
  <si>
    <t>CONDICIONALES (SUMAR.SI.CONJUNTO)</t>
  </si>
  <si>
    <t>FUNCIONES LÓGICAS SIMPLES</t>
  </si>
  <si>
    <t>FUNCIÓN .SI</t>
  </si>
  <si>
    <t>FUNCIÓN Y</t>
  </si>
  <si>
    <t>FUNCIÓN O</t>
  </si>
  <si>
    <t>FUNCIONES FECHA Y HORA</t>
  </si>
  <si>
    <t>HOY, AHORA, AÑO, SIFECHA, DIA.LAB, DIAS.LAB, DIAS.LAB.INTL</t>
  </si>
  <si>
    <t>FUNCIONES TEXTO</t>
  </si>
  <si>
    <t>TEXTO, EXTRAE, IZQUIERDA, DERECHA, CONCATENAR</t>
  </si>
  <si>
    <t>MINUSC, MAYUSC, NOMPROPIO, ESPACIO, HALLAR, LARGO</t>
  </si>
  <si>
    <t>GRUPO WAL-MAR "PALI"</t>
  </si>
  <si>
    <t>CONTROL DE RECURSOS HUMANOS</t>
  </si>
  <si>
    <t>No.</t>
  </si>
  <si>
    <t>Nombres y Apellidos</t>
  </si>
  <si>
    <t>Cargo</t>
  </si>
  <si>
    <t>Fecha de 
Nacimiento</t>
  </si>
  <si>
    <t>Fecha de 
Inicio</t>
  </si>
  <si>
    <t>Edad</t>
  </si>
  <si>
    <t>Fecha de 
Jubilación</t>
  </si>
  <si>
    <t>Años que 
Faltan</t>
  </si>
  <si>
    <t>Años 
Laborales</t>
  </si>
  <si>
    <t>Adodanim Meray González Gutiérrez</t>
  </si>
  <si>
    <t>R/Contabilidad</t>
  </si>
  <si>
    <t>Araceli Quiroz Altamirano</t>
  </si>
  <si>
    <t>R/Servicios General</t>
  </si>
  <si>
    <t>Ayleen León Juárez Velásquez</t>
  </si>
  <si>
    <t>Contador</t>
  </si>
  <si>
    <t>Elba Carmen Pérez Belez</t>
  </si>
  <si>
    <t>Psicóloga</t>
  </si>
  <si>
    <t>Flor de María Mórales Velásquez</t>
  </si>
  <si>
    <t>Genaro Antonio Aguilar Martínez</t>
  </si>
  <si>
    <t>Sub-Director Técnico</t>
  </si>
  <si>
    <t>Keller Fernando Manzanares Pérez</t>
  </si>
  <si>
    <t>Cajero</t>
  </si>
  <si>
    <t>Lester Joel Bonilla Avilez</t>
  </si>
  <si>
    <t>Martha Marcela Bonilla Flores</t>
  </si>
  <si>
    <t>R/Supervisión</t>
  </si>
  <si>
    <t>Morlan Affdoull Marín Gutiérrez</t>
  </si>
  <si>
    <t>Néstor José Corrales Hernández</t>
  </si>
  <si>
    <t>R/Caja</t>
  </si>
  <si>
    <t>Norman Juana Espinoza Reyes</t>
  </si>
  <si>
    <t>R/Bodega</t>
  </si>
  <si>
    <t>Ronnie Román Maltes Bendaña</t>
  </si>
  <si>
    <t>Ruth Aziz Juárez Cortez</t>
  </si>
  <si>
    <t>R/Compra</t>
  </si>
  <si>
    <t>Scarleth Ivette Sotomayor Cortez</t>
  </si>
  <si>
    <t>R/R/H</t>
  </si>
  <si>
    <t>Zaida Reyes Méndez</t>
  </si>
  <si>
    <t>realizar  el siguiente analisis</t>
  </si>
  <si>
    <t>Cantidad de Contadores</t>
  </si>
  <si>
    <t>Cantidad de Empleados</t>
  </si>
  <si>
    <t>Edad Máxima</t>
  </si>
  <si>
    <t>Edad Mínima</t>
  </si>
  <si>
    <t>Edad Repetida</t>
  </si>
  <si>
    <t>USAR REDONDEAR MENOS O TRUNCAR</t>
  </si>
  <si>
    <t>Fin semana: S,D</t>
  </si>
  <si>
    <t>Fin semana: D</t>
  </si>
  <si>
    <t>Trabajador</t>
  </si>
  <si>
    <t>Fecha inicio</t>
  </si>
  <si>
    <t>Fecha fin</t>
  </si>
  <si>
    <t>Días</t>
  </si>
  <si>
    <t>Días laborables</t>
  </si>
  <si>
    <t>Miguel Pérez</t>
  </si>
  <si>
    <t>Festivos</t>
  </si>
  <si>
    <t>Vacaciones</t>
  </si>
  <si>
    <t>Juan Sánchez</t>
  </si>
  <si>
    <t>Número de fin de semana</t>
  </si>
  <si>
    <t>Días de fin de semana</t>
  </si>
  <si>
    <t>Miriam Guerrero</t>
  </si>
  <si>
    <t>1 u omitido</t>
  </si>
  <si>
    <t>Sábado, domingo</t>
  </si>
  <si>
    <t>Ana López</t>
  </si>
  <si>
    <t>Domingo, lunes</t>
  </si>
  <si>
    <t>Estefanía Muñoz</t>
  </si>
  <si>
    <t>Lunes, martes </t>
  </si>
  <si>
    <t>Luis Ostos</t>
  </si>
  <si>
    <t>Martes, miércoles </t>
  </si>
  <si>
    <t>Isabel Martínez</t>
  </si>
  <si>
    <t>Miércoles, jueves</t>
  </si>
  <si>
    <t>Jueves, viernes</t>
  </si>
  <si>
    <t>Viernes, sábado </t>
  </si>
  <si>
    <t>Solo domingo</t>
  </si>
  <si>
    <t>Solo lunes</t>
  </si>
  <si>
    <t>Solo martes</t>
  </si>
  <si>
    <t>Solo miércoles</t>
  </si>
  <si>
    <t>Solo jueves</t>
  </si>
  <si>
    <t>Solo viernes</t>
  </si>
  <si>
    <t>Solo sábado</t>
  </si>
  <si>
    <t>DIAS.LAB PARA CANTIDAD</t>
  </si>
  <si>
    <t>FECHA INICIAL</t>
  </si>
  <si>
    <t>FECHA FINAL</t>
  </si>
  <si>
    <t>DIAS LABORABLES</t>
  </si>
  <si>
    <t>DIAS.LAB,INTL PARA CANTIDAD</t>
  </si>
  <si>
    <t>LUN</t>
  </si>
  <si>
    <t>ABRIL</t>
  </si>
  <si>
    <t>MAR</t>
  </si>
  <si>
    <t>MIE</t>
  </si>
  <si>
    <t>JUE</t>
  </si>
  <si>
    <t>VIE</t>
  </si>
  <si>
    <t>SAB</t>
  </si>
  <si>
    <t>DOM</t>
  </si>
  <si>
    <t>FESTIVOS</t>
  </si>
  <si>
    <t>VACACIONES</t>
  </si>
  <si>
    <t>DIA.LAB,INTL PARA ENCONTRAR FECHA</t>
  </si>
  <si>
    <t>DIA.LAB PARA ENCONTRAR FECHA</t>
  </si>
  <si>
    <t>EJ</t>
  </si>
  <si>
    <t>DIA.LAB</t>
  </si>
  <si>
    <t>DIAS.LAB</t>
  </si>
  <si>
    <t>DIA.LAB.INTL</t>
  </si>
  <si>
    <t>DIAS.LAB.INTL</t>
  </si>
  <si>
    <t>EJECUTE</t>
  </si>
  <si>
    <t>CUANTOS DIAS SE TRABAJO ENTRE FECHAS SIN INCLUIR FESTIVOS Y VACACIONES</t>
  </si>
  <si>
    <t>CUANTOS DIAS SE TRABAJO ENTRE FECHAS INCLUYENDO FESTIVOS Y VACACIONES</t>
  </si>
  <si>
    <t>CUANTOS DIAS SE TRABAJO ENTRE FECHAS SIN INCLUIR FESTIVOS Y VACACIONES, FIN DE SEMANA SAB Y DOM</t>
  </si>
  <si>
    <t>CUANTOS DIAS SE TRABAJO ENTRE FECHAS INCLUYENDO FESTIVOS Y VACACIONES, FIN DE SEMANA SAB Y DOM</t>
  </si>
  <si>
    <t>CUANTOS DIAS SE TRABAJO ENTRE FECHAS INCLUYENDO FESTIVOS Y VACACIONES, FIN DE SEMANA DOMINGOS</t>
  </si>
  <si>
    <t>FECHA DE FINALIZACION DE PROYECTO INCLUYENDO DIAS FESTIVOS, FIN DE SEMANA DOMINGO</t>
  </si>
  <si>
    <t>SUMAR SI</t>
  </si>
  <si>
    <t>CANT</t>
  </si>
  <si>
    <t>VENDEDOR</t>
  </si>
  <si>
    <t>ARTICULO</t>
  </si>
  <si>
    <t>DPTO</t>
  </si>
  <si>
    <t>SUMAR LAS CANTIDADES DE LEONIDAS MARTINEZ</t>
  </si>
  <si>
    <t>JUANA MALTEZ</t>
  </si>
  <si>
    <t>PANTALON</t>
  </si>
  <si>
    <t>resp</t>
  </si>
  <si>
    <t>LEONIDAS MARTINEZ</t>
  </si>
  <si>
    <t>VESTIDO</t>
  </si>
  <si>
    <t>ISOLDA CANO</t>
  </si>
  <si>
    <t>ZAPATOS</t>
  </si>
  <si>
    <t>SUMAR LAS CANTIDADES DE PERFUMES</t>
  </si>
  <si>
    <t>BERTILDA SOVALVARRO</t>
  </si>
  <si>
    <t>ARETES</t>
  </si>
  <si>
    <t>PERFUMES</t>
  </si>
  <si>
    <t>SUMAR LAS CANTIDADES DE ARETES</t>
  </si>
  <si>
    <t>MARIA VADO</t>
  </si>
  <si>
    <t>PEDRO AMORETI</t>
  </si>
  <si>
    <t>SUMAR LAS CANTIDADES DE BOLSOS VENDIDOS</t>
  </si>
  <si>
    <t>BOLSOS</t>
  </si>
  <si>
    <t>SUMAR LAS CANTIDADES DE VENTAS QUE REALIZO JUANA MALTEZ</t>
  </si>
  <si>
    <t>SUMAR TODAS LAS CANTIDADES DE VENTAS</t>
  </si>
  <si>
    <t>BLUSAS</t>
  </si>
  <si>
    <t>SUMAR LAS CANTIDADES  DE VENTAS QUE REALIZO ISOLDA CANO</t>
  </si>
  <si>
    <t>SUMAR LAS VENTAS DE PEDRO AMORETTI EN EL DPTO 3</t>
  </si>
  <si>
    <t>CUANTAS VECES SE VENDIO PANTALON</t>
  </si>
  <si>
    <t>CUANTAS VENTAS REALIZO BERTILDA SOVALVARRO</t>
  </si>
  <si>
    <t>CONTAR LAS VENTAS REALIZADAS</t>
  </si>
  <si>
    <t>CUANTAS VECES SE VENDIO PERFUMES</t>
  </si>
  <si>
    <t>CUANTAS VENTAS REALIZO PEDRO AMORETI</t>
  </si>
  <si>
    <t>CUANTAS VENTAS REALIZO PEDRO AMORETTI EN EL DPTO 3</t>
  </si>
  <si>
    <t>CONTAR.SI.CONJUNTO</t>
  </si>
  <si>
    <t>FUNCIONES ESTADISTICAS</t>
  </si>
  <si>
    <t>Delegación</t>
  </si>
  <si>
    <t>Apellido</t>
  </si>
  <si>
    <t>Nombre</t>
  </si>
  <si>
    <t>Departamento</t>
  </si>
  <si>
    <t>Contrato</t>
  </si>
  <si>
    <t>salario</t>
  </si>
  <si>
    <t>cuantos trabajadores tienen contrato de</t>
  </si>
  <si>
    <t>Total de Salario</t>
  </si>
  <si>
    <t>ESTE</t>
  </si>
  <si>
    <t>ARCOS</t>
  </si>
  <si>
    <t>BERNARDO</t>
  </si>
  <si>
    <t>MANTENIMIENTO</t>
  </si>
  <si>
    <t>PASANTIA</t>
  </si>
  <si>
    <t>Calcule</t>
  </si>
  <si>
    <t>NORTE</t>
  </si>
  <si>
    <t>BRUNO</t>
  </si>
  <si>
    <t>SEBASTIAN</t>
  </si>
  <si>
    <t>PRODUCCION</t>
  </si>
  <si>
    <t>cantidad</t>
  </si>
  <si>
    <t>suma</t>
  </si>
  <si>
    <t>promedio</t>
  </si>
  <si>
    <t>REDONDO</t>
  </si>
  <si>
    <t>BEGOÑA</t>
  </si>
  <si>
    <t>DIRECCION DELEGACION</t>
  </si>
  <si>
    <t>S PROFESIONAL</t>
  </si>
  <si>
    <t>CONTABILIDAD</t>
  </si>
  <si>
    <t>YEPES</t>
  </si>
  <si>
    <t>INDEFINIDO</t>
  </si>
  <si>
    <t>SUR</t>
  </si>
  <si>
    <t>TRISTAN</t>
  </si>
  <si>
    <t>CLARA</t>
  </si>
  <si>
    <t>DETERMINADO</t>
  </si>
  <si>
    <t>CALIDAD</t>
  </si>
  <si>
    <t>VIDAL</t>
  </si>
  <si>
    <t>SILVIA</t>
  </si>
  <si>
    <t>OESTE</t>
  </si>
  <si>
    <t>LIMPIEZA</t>
  </si>
  <si>
    <t>PONS</t>
  </si>
  <si>
    <t>cuantos trabajadores son de la delegacion de</t>
  </si>
  <si>
    <t>SUSAETA</t>
  </si>
  <si>
    <t>LOURDES</t>
  </si>
  <si>
    <t>CENTRALITA</t>
  </si>
  <si>
    <t>CINTA</t>
  </si>
  <si>
    <t>RAMALLAL</t>
  </si>
  <si>
    <t>ESTHER</t>
  </si>
  <si>
    <t>TOVAR</t>
  </si>
  <si>
    <t>SOFIA</t>
  </si>
  <si>
    <t>YANEZ</t>
  </si>
  <si>
    <t>CAROL</t>
  </si>
  <si>
    <t>EXPEDICION</t>
  </si>
  <si>
    <t>PELLEGRINI</t>
  </si>
  <si>
    <t>MARCELO</t>
  </si>
  <si>
    <t>SAYAS</t>
  </si>
  <si>
    <t>COMPRAS</t>
  </si>
  <si>
    <t>VELAZQUEZ</t>
  </si>
  <si>
    <t>Cuantos trabajadores estan en el departamento de</t>
  </si>
  <si>
    <t>ABAD</t>
  </si>
  <si>
    <t>ALAN</t>
  </si>
  <si>
    <t>BOCANEGRA</t>
  </si>
  <si>
    <t>MARTIN</t>
  </si>
  <si>
    <t>REY</t>
  </si>
  <si>
    <t>SANDRA</t>
  </si>
  <si>
    <t>VALBUENA</t>
  </si>
  <si>
    <t>CHATEN</t>
  </si>
  <si>
    <t>GUILLERMO</t>
  </si>
  <si>
    <t>COMINO</t>
  </si>
  <si>
    <t>ANTONIO</t>
  </si>
  <si>
    <t>DARMANI</t>
  </si>
  <si>
    <t>LUDOVICO</t>
  </si>
  <si>
    <t>BONNOT</t>
  </si>
  <si>
    <t>GONZALO</t>
  </si>
  <si>
    <t>COSTA</t>
  </si>
  <si>
    <t>MARCIAL</t>
  </si>
  <si>
    <t>DE LA FUENTE</t>
  </si>
  <si>
    <t>CARLOS</t>
  </si>
  <si>
    <t>DELAROSA</t>
  </si>
  <si>
    <t>SAMUEL</t>
  </si>
  <si>
    <t>DELMAS</t>
  </si>
  <si>
    <t>DOMINGO</t>
  </si>
  <si>
    <t>DIMARIA</t>
  </si>
  <si>
    <t>ROMAN</t>
  </si>
  <si>
    <t>CAMUS</t>
  </si>
  <si>
    <t>DAVID</t>
  </si>
  <si>
    <t>CHABA</t>
  </si>
  <si>
    <t>JUSTO</t>
  </si>
  <si>
    <t>CHOTIS</t>
  </si>
  <si>
    <t>JERONIMO</t>
  </si>
  <si>
    <t>DATOLO</t>
  </si>
  <si>
    <t>NICOLAS</t>
  </si>
  <si>
    <t>DIAZ</t>
  </si>
  <si>
    <t>JUAN FELIPE</t>
  </si>
  <si>
    <t>TARAZONA</t>
  </si>
  <si>
    <t>ANA</t>
  </si>
  <si>
    <t>PRADOS</t>
  </si>
  <si>
    <t>SORAYA</t>
  </si>
  <si>
    <t>VILLA</t>
  </si>
  <si>
    <t>COTERO</t>
  </si>
  <si>
    <t>CARMEN</t>
  </si>
  <si>
    <t>REVILLA</t>
  </si>
  <si>
    <t>URIA</t>
  </si>
  <si>
    <t>JUAN</t>
  </si>
  <si>
    <t>DEL MORAL</t>
  </si>
  <si>
    <t>MEHDI</t>
  </si>
  <si>
    <t>PAYUETA</t>
  </si>
  <si>
    <t>OCTAVIA</t>
  </si>
  <si>
    <t>PEDROSA</t>
  </si>
  <si>
    <t>CARINA</t>
  </si>
  <si>
    <t>RUIZ</t>
  </si>
  <si>
    <t>VELARDE</t>
  </si>
  <si>
    <t>PAZOS</t>
  </si>
  <si>
    <t>MERCHE</t>
  </si>
  <si>
    <t>PELERIN</t>
  </si>
  <si>
    <t>VEGA</t>
  </si>
  <si>
    <t>RIGUERO</t>
  </si>
  <si>
    <t>ROYO</t>
  </si>
  <si>
    <t>VELASCO</t>
  </si>
  <si>
    <t>DURAZNO</t>
  </si>
  <si>
    <t>MARISA</t>
  </si>
  <si>
    <t>GALLARDO</t>
  </si>
  <si>
    <t>FRANCISCA</t>
  </si>
  <si>
    <t>DOTIL</t>
  </si>
  <si>
    <t>BERNARDA</t>
  </si>
  <si>
    <t>FERNANDEZ</t>
  </si>
  <si>
    <t>ANNA</t>
  </si>
  <si>
    <t>FORLIN</t>
  </si>
  <si>
    <t>MERITXELL</t>
  </si>
  <si>
    <t>CONDE</t>
  </si>
  <si>
    <t>JAIME</t>
  </si>
  <si>
    <t>DOMINGUEZ</t>
  </si>
  <si>
    <t>MAXIMO</t>
  </si>
  <si>
    <t>DUMARRAGA</t>
  </si>
  <si>
    <t>MARIA JOSE</t>
  </si>
  <si>
    <t>ESPINET</t>
  </si>
  <si>
    <t>MIGUELINA</t>
  </si>
  <si>
    <t>FELIÑEZ</t>
  </si>
  <si>
    <t>BERTA</t>
  </si>
  <si>
    <t>FOSTOS</t>
  </si>
  <si>
    <t>DANIELA</t>
  </si>
  <si>
    <t>FLORES</t>
  </si>
  <si>
    <t>NURIA</t>
  </si>
  <si>
    <t>GARCI</t>
  </si>
  <si>
    <t>BELLIDO</t>
  </si>
  <si>
    <t>ALFONSO</t>
  </si>
  <si>
    <t>GONZALEZ</t>
  </si>
  <si>
    <t>BRIGIDA</t>
  </si>
  <si>
    <t>ZAMORA</t>
  </si>
  <si>
    <t>FRANCISCO</t>
  </si>
  <si>
    <t>BARRERA</t>
  </si>
  <si>
    <t>CAMILO</t>
  </si>
  <si>
    <t>BETERO</t>
  </si>
  <si>
    <t>PATRICIO</t>
  </si>
  <si>
    <t>ARTERO</t>
  </si>
  <si>
    <t>BASCO</t>
  </si>
  <si>
    <t>ALONSO</t>
  </si>
  <si>
    <t>BISEL</t>
  </si>
  <si>
    <t>BONET</t>
  </si>
  <si>
    <t>LARENA</t>
  </si>
  <si>
    <t>JOSEFA</t>
  </si>
  <si>
    <t>LERMA</t>
  </si>
  <si>
    <t>FEDERICO</t>
  </si>
  <si>
    <t>LAVEGA</t>
  </si>
  <si>
    <t>IRIS</t>
  </si>
  <si>
    <t>MARCO</t>
  </si>
  <si>
    <t>FLORINDA</t>
  </si>
  <si>
    <t>MAURI</t>
  </si>
  <si>
    <t>LAUNDA</t>
  </si>
  <si>
    <t>LILIANA</t>
  </si>
  <si>
    <t>LINO</t>
  </si>
  <si>
    <t>LAURA</t>
  </si>
  <si>
    <t>MARQUEZ</t>
  </si>
  <si>
    <t>MIRIAM</t>
  </si>
  <si>
    <t>MORALES</t>
  </si>
  <si>
    <t>MARINA</t>
  </si>
  <si>
    <t>LA FUENTE</t>
  </si>
  <si>
    <t>YOLANDA</t>
  </si>
  <si>
    <t>LEDESMA</t>
  </si>
  <si>
    <t>LINDA</t>
  </si>
  <si>
    <t>LOPE</t>
  </si>
  <si>
    <t>PURIFICACION</t>
  </si>
  <si>
    <t>MORON</t>
  </si>
  <si>
    <t>FABIANA</t>
  </si>
  <si>
    <t>MOLLA</t>
  </si>
  <si>
    <t>BIBIANA</t>
  </si>
  <si>
    <t>MARTOS</t>
  </si>
  <si>
    <t>CATI</t>
  </si>
  <si>
    <t>MELLADO</t>
  </si>
  <si>
    <t>LIDIA</t>
  </si>
  <si>
    <t>MOTA</t>
  </si>
  <si>
    <t>PASTRANA</t>
  </si>
  <si>
    <t>IBARRA</t>
  </si>
  <si>
    <t>ANDREA</t>
  </si>
  <si>
    <t>MUELA</t>
  </si>
  <si>
    <t>NORA</t>
  </si>
  <si>
    <t>PASCUA</t>
  </si>
  <si>
    <t>MARIA</t>
  </si>
  <si>
    <t>GOROSPEGUI</t>
  </si>
  <si>
    <t>MIREIA</t>
  </si>
  <si>
    <t>GREGORIO</t>
  </si>
  <si>
    <t>PEDRO</t>
  </si>
  <si>
    <t>GUANCHO</t>
  </si>
  <si>
    <t>ROSA</t>
  </si>
  <si>
    <t>INDALECIO</t>
  </si>
  <si>
    <t>ASUNCION</t>
  </si>
  <si>
    <t>NOGAL</t>
  </si>
  <si>
    <t>SABINA</t>
  </si>
  <si>
    <t>PANADERO</t>
  </si>
  <si>
    <t>ANGELICA</t>
  </si>
  <si>
    <t>PARAMO</t>
  </si>
  <si>
    <t>KARINA</t>
  </si>
  <si>
    <t>PABLO</t>
  </si>
  <si>
    <t>SEGURA</t>
  </si>
  <si>
    <t>PELLICER</t>
  </si>
  <si>
    <t>BOPAL</t>
  </si>
  <si>
    <t>GERMAN</t>
  </si>
  <si>
    <t>VAZQUEZ</t>
  </si>
  <si>
    <t>AURELIA</t>
  </si>
  <si>
    <t>RIANCHO</t>
  </si>
  <si>
    <t>GARCIA</t>
  </si>
  <si>
    <t>SUSANA</t>
  </si>
  <si>
    <t>GENARO</t>
  </si>
  <si>
    <t>EMILIA</t>
  </si>
  <si>
    <t>ARANGUREN</t>
  </si>
  <si>
    <t>ANGOSTO</t>
  </si>
  <si>
    <t>ROGER</t>
  </si>
  <si>
    <t>STEPHANE</t>
  </si>
  <si>
    <t>BOSON</t>
  </si>
  <si>
    <t>FELIPE</t>
  </si>
  <si>
    <t>BOTERO</t>
  </si>
  <si>
    <t>DALMACI</t>
  </si>
  <si>
    <t>OSCAR</t>
  </si>
  <si>
    <t>GIRALDO</t>
  </si>
  <si>
    <t>JAVIERRE</t>
  </si>
  <si>
    <t>GUILLEN</t>
  </si>
  <si>
    <t>LOPEZ</t>
  </si>
  <si>
    <t>LAGO</t>
  </si>
  <si>
    <t>ORIOL</t>
  </si>
  <si>
    <t>LAGRANA</t>
  </si>
  <si>
    <t>BONARDEL</t>
  </si>
  <si>
    <t>PEREZ</t>
  </si>
  <si>
    <t>SOLER</t>
  </si>
  <si>
    <t>MARTINA</t>
  </si>
  <si>
    <t>VICENTE</t>
  </si>
  <si>
    <t>MELANIA</t>
  </si>
  <si>
    <t>REQUERO</t>
  </si>
  <si>
    <t>TRUJILLO</t>
  </si>
  <si>
    <t>LIONEL</t>
  </si>
  <si>
    <t>LEZA</t>
  </si>
  <si>
    <t>CATALINA</t>
  </si>
  <si>
    <t>LEMOS</t>
  </si>
  <si>
    <t>CASTILLO</t>
  </si>
  <si>
    <t>AMADO</t>
  </si>
  <si>
    <t>DORLAN</t>
  </si>
  <si>
    <t>MARTINEZ</t>
  </si>
  <si>
    <t>VALERIA</t>
  </si>
  <si>
    <t>NAVARRETE</t>
  </si>
  <si>
    <t>ESTEFANIA</t>
  </si>
  <si>
    <t>ALARCON</t>
  </si>
  <si>
    <t>PASCUAL</t>
  </si>
  <si>
    <t>JEREZ</t>
  </si>
  <si>
    <t>CANAL</t>
  </si>
  <si>
    <t>POL</t>
  </si>
  <si>
    <t>CORNELLA</t>
  </si>
  <si>
    <t>BLANCO</t>
  </si>
  <si>
    <t>CANARIS</t>
  </si>
  <si>
    <t>IZQUIERDA</t>
  </si>
  <si>
    <r>
      <t>ESTA FUNCION</t>
    </r>
    <r>
      <rPr>
        <sz val="10"/>
        <color rgb="FFFF0000"/>
        <rFont val="Arial"/>
        <family val="2"/>
      </rPr>
      <t xml:space="preserve"> EXTRAE DIGITOS DESDE LA PARTE IZQUIERDA</t>
    </r>
    <r>
      <rPr>
        <sz val="11"/>
        <color theme="1"/>
        <rFont val="Calibri"/>
        <family val="2"/>
        <scheme val="minor"/>
      </rPr>
      <t xml:space="preserve"> DE UNA PALABRA</t>
    </r>
  </si>
  <si>
    <t>DERECHA</t>
  </si>
  <si>
    <r>
      <t xml:space="preserve">ESTA FUNCION </t>
    </r>
    <r>
      <rPr>
        <sz val="10"/>
        <color rgb="FFFF0000"/>
        <rFont val="Arial"/>
        <family val="2"/>
      </rPr>
      <t>EXTRAE DIGITOS DESDE LA PARTE DERECHA</t>
    </r>
    <r>
      <rPr>
        <sz val="11"/>
        <color theme="1"/>
        <rFont val="Calibri"/>
        <family val="2"/>
        <scheme val="minor"/>
      </rPr>
      <t xml:space="preserve">  DE UNA PALABRA</t>
    </r>
  </si>
  <si>
    <t>EXTRAER-MED</t>
  </si>
  <si>
    <r>
      <t xml:space="preserve">ESTA FUNCION </t>
    </r>
    <r>
      <rPr>
        <sz val="10"/>
        <color rgb="FFFF0000"/>
        <rFont val="Arial"/>
        <family val="2"/>
      </rPr>
      <t>EXTRAE DIGITOS DESDE CUALQUEIR PARTE</t>
    </r>
    <r>
      <rPr>
        <sz val="11"/>
        <color theme="1"/>
        <rFont val="Calibri"/>
        <family val="2"/>
        <scheme val="minor"/>
      </rPr>
      <t xml:space="preserve">   DE UNA PALABRA</t>
    </r>
  </si>
  <si>
    <t xml:space="preserve">CONCATENAR </t>
  </si>
  <si>
    <r>
      <t xml:space="preserve">ESTA FUNCION </t>
    </r>
    <r>
      <rPr>
        <sz val="10"/>
        <color rgb="FFFF0000"/>
        <rFont val="Arial"/>
        <family val="2"/>
      </rPr>
      <t>UNE EL CONTENIDO DE VARIAS CELDAS EN UNA</t>
    </r>
    <r>
      <rPr>
        <sz val="11"/>
        <color theme="1"/>
        <rFont val="Calibri"/>
        <family val="2"/>
        <scheme val="minor"/>
      </rPr>
      <t>, TAMBIEN SE PUEDE UNIR EXTRACCIONES DE TEXTOS ACOMPA;ADOS CON OTRAS FUNCIONES COMO MED O EXTRAE, IZQUIERDA, DERECHA</t>
    </r>
  </si>
  <si>
    <t>EJERCICIO NUMERO 1</t>
  </si>
  <si>
    <t>NOMBRE DE EMPLEADOS</t>
  </si>
  <si>
    <t>CEDULA</t>
  </si>
  <si>
    <t>CARGO</t>
  </si>
  <si>
    <t>SECTOR</t>
  </si>
  <si>
    <t>NO CARNET</t>
  </si>
  <si>
    <t>sandra garcía almendares</t>
  </si>
  <si>
    <t>0012701610032L</t>
  </si>
  <si>
    <t>CONSTRUCCION</t>
  </si>
  <si>
    <t>AYUDANTE</t>
  </si>
  <si>
    <t>joel alberto ponce</t>
  </si>
  <si>
    <t>0010304720075Q</t>
  </si>
  <si>
    <t>FONTANERIA</t>
  </si>
  <si>
    <t>OFICIAL</t>
  </si>
  <si>
    <t>leonor pérez lópez</t>
  </si>
  <si>
    <t>0012706750016A</t>
  </si>
  <si>
    <t>SERV VARIOS</t>
  </si>
  <si>
    <t>michel carolina  gómez</t>
  </si>
  <si>
    <t>4011110370001N</t>
  </si>
  <si>
    <t>SOLDADURA</t>
  </si>
  <si>
    <t>julio alberto garcía</t>
  </si>
  <si>
    <t>0010804480026D</t>
  </si>
  <si>
    <t>REFRIGERACION</t>
  </si>
  <si>
    <t>luis humberto jerez garcía</t>
  </si>
  <si>
    <t>0422012530000P</t>
  </si>
  <si>
    <t>ALBAÑILERIA</t>
  </si>
  <si>
    <t>eddy efraín  salazar</t>
  </si>
  <si>
    <t>0012604530012A</t>
  </si>
  <si>
    <t>ELECTRICISTA</t>
  </si>
  <si>
    <t>julio cesar zavala pérez</t>
  </si>
  <si>
    <t>0011610760069E</t>
  </si>
  <si>
    <t>kevin danilo reyes</t>
  </si>
  <si>
    <t>0011206610061S</t>
  </si>
  <si>
    <t>verónica maría méndez</t>
  </si>
  <si>
    <t>0011012710069G</t>
  </si>
  <si>
    <t>milton javier guerrero sánchez</t>
  </si>
  <si>
    <t>0010508790064V</t>
  </si>
  <si>
    <t>aurora argentina martinez mendez</t>
  </si>
  <si>
    <t>0932111570000A</t>
  </si>
  <si>
    <t>maritza del carmen morales herrera</t>
  </si>
  <si>
    <t>0012812670027W</t>
  </si>
  <si>
    <t>mildred ríos palacios</t>
  </si>
  <si>
    <t>0442008270000P</t>
  </si>
  <si>
    <t>ricardo de jesus varela hernandez</t>
  </si>
  <si>
    <t>0011804580050W</t>
  </si>
  <si>
    <t>cándido ignacio díaz gómez</t>
  </si>
  <si>
    <t>0010204800016F</t>
  </si>
  <si>
    <t>leslie eliezer hernández</t>
  </si>
  <si>
    <t>4451903500000D</t>
  </si>
  <si>
    <t>mario daniel palacio ruiz</t>
  </si>
  <si>
    <t>0053001400000R</t>
  </si>
  <si>
    <t>maricela auxiliadora peña  díaz</t>
  </si>
  <si>
    <t>0010512770069N</t>
  </si>
  <si>
    <t>eveling del rosario paniagua romero</t>
  </si>
  <si>
    <t>0410903540002L</t>
  </si>
  <si>
    <t>juana acuña lópez</t>
  </si>
  <si>
    <t>1621511790002U</t>
  </si>
  <si>
    <t>miurel anelky martínez</t>
  </si>
  <si>
    <t>0012609790082S</t>
  </si>
  <si>
    <t>Función SI</t>
  </si>
  <si>
    <t>,</t>
  </si>
  <si>
    <t>3 partes</t>
  </si>
  <si>
    <t>valor lógico</t>
  </si>
  <si>
    <t>condición</t>
  </si>
  <si>
    <t>valor si verdadero</t>
  </si>
  <si>
    <t>si se cumple</t>
  </si>
  <si>
    <t>valor si falso</t>
  </si>
  <si>
    <t>si no se cumple</t>
  </si>
  <si>
    <t>Posibles resultados</t>
  </si>
  <si>
    <t xml:space="preserve">Texto </t>
  </si>
  <si>
    <t>DEBE colocarse entre comillas " "</t>
  </si>
  <si>
    <t>Número</t>
  </si>
  <si>
    <t>No necesita símbolos adicionales</t>
  </si>
  <si>
    <t>Función</t>
  </si>
  <si>
    <t>.</t>
  </si>
  <si>
    <t>Género</t>
  </si>
  <si>
    <t>Equipo</t>
  </si>
  <si>
    <t>Flory</t>
  </si>
  <si>
    <t>Femenino</t>
  </si>
  <si>
    <t>Diego</t>
  </si>
  <si>
    <t>Masculino</t>
  </si>
  <si>
    <t>Marta</t>
  </si>
  <si>
    <t>Javier</t>
  </si>
  <si>
    <t>Gisselle</t>
  </si>
  <si>
    <t>Blanca</t>
  </si>
  <si>
    <t>Héctor</t>
  </si>
  <si>
    <t>William</t>
  </si>
  <si>
    <t>Cuota</t>
  </si>
  <si>
    <t>Parqueo</t>
  </si>
  <si>
    <t>Rocío</t>
  </si>
  <si>
    <t>pagó</t>
  </si>
  <si>
    <t>Giovanni</t>
  </si>
  <si>
    <t>no pagó</t>
  </si>
  <si>
    <t>Yury</t>
  </si>
  <si>
    <t>Ana Victoria</t>
  </si>
  <si>
    <t>Fiesta</t>
  </si>
  <si>
    <t>Fernando</t>
  </si>
  <si>
    <t>Estela</t>
  </si>
  <si>
    <t>Daniela</t>
  </si>
  <si>
    <t>Fressy</t>
  </si>
  <si>
    <t>Nota final</t>
  </si>
  <si>
    <t>Condición</t>
  </si>
  <si>
    <t>Trabajo extra</t>
  </si>
  <si>
    <t>Nueva nota</t>
  </si>
  <si>
    <t>Mario</t>
  </si>
  <si>
    <t>Luis</t>
  </si>
  <si>
    <t>Paula</t>
  </si>
  <si>
    <t>Alejandra</t>
  </si>
  <si>
    <t>Precio</t>
  </si>
  <si>
    <t>Pago</t>
  </si>
  <si>
    <t>Con descuento</t>
  </si>
  <si>
    <t>Total</t>
  </si>
  <si>
    <t>BAC</t>
  </si>
  <si>
    <t>Elena</t>
  </si>
  <si>
    <t>BANPRO</t>
  </si>
  <si>
    <t>Marco</t>
  </si>
  <si>
    <t>Popular</t>
  </si>
  <si>
    <t>Guido</t>
  </si>
  <si>
    <t>=si(Y(condición 1; condición 2; condición 3)  entonces parte verdadera de lo contrario (si no se cumplen TODAS) parte falsa)</t>
  </si>
  <si>
    <t>Descuento</t>
  </si>
  <si>
    <t>tarjeta</t>
  </si>
  <si>
    <t>Si el pago es en efectivo y mayor a 50 mil colones entonces recibe un descuento del 12%</t>
  </si>
  <si>
    <t>efectivo</t>
  </si>
  <si>
    <t>Heidy</t>
  </si>
  <si>
    <t>=si(O(condición 1; condición 2; condición 3)  entonces parte verdadera de lo contrario (si NINGUNA se cumple) parte falsa)</t>
  </si>
  <si>
    <t>Si el pago es en efectivo o con tarjeta Banpro recibe un descuento del 7%</t>
  </si>
  <si>
    <t>Banpro</t>
  </si>
  <si>
    <t>ALUMNO</t>
  </si>
  <si>
    <t>CARRERA</t>
  </si>
  <si>
    <t>SISTEMATICO</t>
  </si>
  <si>
    <t>EXAMEN</t>
  </si>
  <si>
    <t>NOTA FINAL</t>
  </si>
  <si>
    <t>ESTADO1</t>
  </si>
  <si>
    <t>ESTADO2</t>
  </si>
  <si>
    <t>ESTADO3</t>
  </si>
  <si>
    <t>A01</t>
  </si>
  <si>
    <t>COMPUTACION</t>
  </si>
  <si>
    <t>0…59</t>
  </si>
  <si>
    <t>DEFICIENTE</t>
  </si>
  <si>
    <t>A02</t>
  </si>
  <si>
    <t>60…69</t>
  </si>
  <si>
    <t>REGULAR</t>
  </si>
  <si>
    <t>A03</t>
  </si>
  <si>
    <t>DERECHO</t>
  </si>
  <si>
    <t>70…79</t>
  </si>
  <si>
    <t>BUENO</t>
  </si>
  <si>
    <t>A04</t>
  </si>
  <si>
    <t>80…89</t>
  </si>
  <si>
    <t>MUY BUENO</t>
  </si>
  <si>
    <t>A05</t>
  </si>
  <si>
    <t>90…100</t>
  </si>
  <si>
    <t>EXCELENTE</t>
  </si>
  <si>
    <t>A06</t>
  </si>
  <si>
    <t>A07</t>
  </si>
  <si>
    <t>A08</t>
  </si>
  <si>
    <t>A09</t>
  </si>
  <si>
    <t>A10</t>
  </si>
  <si>
    <t>A11</t>
  </si>
  <si>
    <t>A12</t>
  </si>
  <si>
    <t>EMPLEADO</t>
  </si>
  <si>
    <t>SALARIO</t>
  </si>
  <si>
    <t>INCENTIVO1</t>
  </si>
  <si>
    <t>INCENTIVO2</t>
  </si>
  <si>
    <t>INCENTIVO3</t>
  </si>
  <si>
    <t>INCENTIVO4</t>
  </si>
  <si>
    <t>INCENTIVO5</t>
  </si>
  <si>
    <t>INCENTIVO6</t>
  </si>
  <si>
    <t>E01</t>
  </si>
  <si>
    <t>VIGILANTE</t>
  </si>
  <si>
    <t>E02</t>
  </si>
  <si>
    <t>AFANADORA</t>
  </si>
  <si>
    <t>E03</t>
  </si>
  <si>
    <t>SECRETARIA</t>
  </si>
  <si>
    <t>E04</t>
  </si>
  <si>
    <t>CONTADOR</t>
  </si>
  <si>
    <t>E05</t>
  </si>
  <si>
    <t>OTRO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</si>
  <si>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</si>
  <si>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</si>
  <si>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</si>
  <si>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</si>
  <si>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</si>
  <si>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</si>
  <si>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</si>
  <si>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</si>
  <si>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</si>
  <si>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</si>
  <si>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</si>
  <si>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</si>
  <si>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</si>
  <si>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</si>
  <si>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</si>
  <si>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PARTICIPANTE</t>
  </si>
  <si>
    <t>PRUEBA1</t>
  </si>
  <si>
    <t>PRUEBA2</t>
  </si>
  <si>
    <t>RESULTADO1</t>
  </si>
  <si>
    <t>RESULTADO2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</si>
  <si>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</si>
  <si>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</si>
  <si>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</si>
  <si>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</si>
  <si>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</si>
  <si>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</si>
  <si>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</si>
  <si>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</si>
  <si>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</si>
  <si>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</si>
  <si>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NOMBRES A MAYUSC</t>
  </si>
  <si>
    <t>NOMBRES  A NOMPROPIO</t>
  </si>
  <si>
    <t>DIA Y MES</t>
  </si>
  <si>
    <t>NO DE LETRAS DE CARACTERES</t>
  </si>
  <si>
    <t>PRIMERA LETRA DE NOMBRES</t>
  </si>
  <si>
    <t>ULTIMA LETRA DE CEDULA</t>
  </si>
  <si>
    <t>POSICION DEL PRIMER ESPACION DE NOMBRES</t>
  </si>
  <si>
    <t>Crear correo electronico
aurora1_093@consart.com</t>
  </si>
  <si>
    <t>Mi nombre es AURORA, y naci en el año 57</t>
  </si>
  <si>
    <t>En la columna C, utilizar las funciones necesarias para que la cedula quede asi..
093-211157-0000A</t>
  </si>
  <si>
    <t>REFERENCIA DE CELDAS</t>
  </si>
  <si>
    <t>La estructura de una funcion se conoce como SINTAXIS</t>
  </si>
  <si>
    <t>PARA   SER   PRODUCTIVO   E   INDISPENSABLE   EN   EL   MUNDO   LOBORAL</t>
  </si>
  <si>
    <t>FUNCIONES QUE SI O SI DEBES DOMINAR</t>
  </si>
  <si>
    <r>
      <t>son fórmulas predefinidas que realizan cálculos específicos utilizando valores llamados argumentos, en un orden particular. </t>
    </r>
    <r>
      <rPr>
        <b/>
        <sz val="14"/>
        <color rgb="FFFF0000"/>
        <rFont val="Arial"/>
        <family val="2"/>
      </rPr>
      <t>Estas funciones simplifican tareas complejas al automatizar operaciones</t>
    </r>
    <r>
      <rPr>
        <sz val="14"/>
        <color rgb="FF001D35"/>
        <rFont val="Arial"/>
        <family val="2"/>
      </rPr>
      <t xml:space="preserve"> matemáticas, lógicas, de texto, fecha y hora, entre otras. </t>
    </r>
  </si>
  <si>
    <t>FUNCIONES BASICAS</t>
  </si>
  <si>
    <t>¿Qué  son las funciones?</t>
  </si>
  <si>
    <t>ERRORES EN LOS DATOS</t>
  </si>
  <si>
    <t xml:space="preserve">Si no sabemos qué hacer, disponemos de la opción Ayuda sobre este error. </t>
  </si>
  <si>
    <t>Si lo que queremos es comprobar la fórmula para saber si hay que modificarla o no podríamos utilizar la opción Modificar en la barra de fórmulas.</t>
  </si>
  <si>
    <t>Si la fórmula es correcta, se utilizará la opción Omitir error para que desaparezca el símbolo de la esquina de la celda.</t>
  </si>
  <si>
    <t>Errores</t>
  </si>
  <si>
    <r>
      <t xml:space="preserve">    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Puede que al introducir la fórmula nos aparezca como contenido de la celda #TEXTO, siendo TEXTO un valor que puede cambiar dependiendo del tipo de error. Por ejemplo: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</si>
  <si>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##### se produce cuando el ancho de una columna no es suficiente o cuando se utiliza una fecha o una hora negativa.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</si>
  <si>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 ¡NUM! cuando se ha introducido un tipo de argumento o de operando incorrecto, como puede ser sumar textos.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</si>
  <si>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 ¡DIV/0! cuando se divide un número por cero.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</si>
  <si>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 ¿NOMBRE? cuando Excel no reconoce el texto de la fórmula.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</si>
  <si>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#N/A cuando un valor no está disponible para una función o fórmula.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</si>
  <si>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#¡REF! se produce cuando una referencia de celda no es válida.</t>
    </r>
  </si>
  <si>
    <r>
      <t xml:space="preserve">      </t>
    </r>
    <r>
      <rPr>
        <sz val="11"/>
        <color theme="1"/>
        <rFont val="Wingdings"/>
        <charset val="2"/>
      </rPr>
      <t xml:space="preserve">  ü</t>
    </r>
    <r>
      <rPr>
        <sz val="11"/>
        <color theme="1"/>
        <rFont val="Calibri"/>
        <family val="2"/>
      </rPr>
      <t xml:space="preserve"> #¡NULO! cuando se especifica una intersección de dos áreas </t>
    </r>
    <r>
      <rPr>
        <u/>
        <sz val="11"/>
        <color theme="1"/>
        <rFont val="Calibri"/>
        <family val="2"/>
      </rPr>
      <t>que no se interceptan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</si>
  <si>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#!VALOR! Se  muestra cuando se introduce un operando incorrecto.</t>
    </r>
  </si>
  <si>
    <t>algunos DE ERRORES DE DATOS</t>
  </si>
  <si>
    <t xml:space="preserve">verificar LAS SIGUIENTES FORMULAS </t>
  </si>
  <si>
    <t>FERRETERIA EL TORITO</t>
  </si>
  <si>
    <t>ARTICULOS</t>
  </si>
  <si>
    <t>CANTIDAD</t>
  </si>
  <si>
    <t>P UNT</t>
  </si>
  <si>
    <t>formulas error</t>
  </si>
  <si>
    <t>CLAVOS</t>
  </si>
  <si>
    <t>MARTILLOS</t>
  </si>
  <si>
    <t>PALA</t>
  </si>
  <si>
    <t>CERRUCHO</t>
  </si>
  <si>
    <t>CARRETA</t>
  </si>
  <si>
    <t>TALADRO</t>
  </si>
  <si>
    <t>FECHA DE FINALIZACION DE PROYECTO SIN INCLUIR DIAS FESTIVOS Y VACACIONES</t>
  </si>
  <si>
    <t>FECHA DE FINALIZACION DE PROYECTO INCLUYENDO DIAS FESTIVOS Y VACACIONES</t>
  </si>
  <si>
    <t>FECHA DE FINALIZACION DE PROYECTO INCLUYENDO DIAS FESTIVOS Y VACACIONES, FIN DE SEMANA SAB Y DOM</t>
  </si>
  <si>
    <t>FECHA DE FINALIZACION DE PROYECTO INCLUYENDO DIAS FESTIVOS Y VACACIONES, FIN DE SEMANA DOMINGO</t>
  </si>
  <si>
    <t>Distribuidora la Ideal Venta de granos</t>
  </si>
  <si>
    <t>Meses</t>
  </si>
  <si>
    <t>Arroz</t>
  </si>
  <si>
    <t>Frijoles</t>
  </si>
  <si>
    <t>Azucar</t>
  </si>
  <si>
    <t>Maiz</t>
  </si>
  <si>
    <t>Soya</t>
  </si>
  <si>
    <t>Totales</t>
  </si>
  <si>
    <t>% por producto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</si>
  <si>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</si>
  <si>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</si>
  <si>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</si>
  <si>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</si>
  <si>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</si>
  <si>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</si>
  <si>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</si>
  <si>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</si>
  <si>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</si>
  <si>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</si>
  <si>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</si>
  <si>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</si>
  <si>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 Total</t>
  </si>
  <si>
    <t>Maxima Venta</t>
  </si>
  <si>
    <t>Minima Venta</t>
  </si>
  <si>
    <t>Promedio De Venta</t>
  </si>
  <si>
    <t>FECHA</t>
  </si>
  <si>
    <r>
      <rPr>
        <b/>
        <sz val="10"/>
        <color rgb="FFFF0000"/>
        <rFont val="Arial"/>
        <family val="2"/>
      </rPr>
      <t xml:space="preserve">PROMEDIO </t>
    </r>
    <r>
      <rPr>
        <sz val="10"/>
        <color theme="1"/>
        <rFont val="Arial"/>
        <family val="2"/>
      </rPr>
      <t>DE VENTAS POR ZAPATOS</t>
    </r>
  </si>
  <si>
    <r>
      <rPr>
        <b/>
        <sz val="10"/>
        <color rgb="FFFF0000"/>
        <rFont val="Arial"/>
        <family val="2"/>
      </rPr>
      <t>PROMEDIO</t>
    </r>
    <r>
      <rPr>
        <sz val="10"/>
        <color theme="1"/>
        <rFont val="Arial"/>
        <family val="2"/>
      </rPr>
      <t xml:space="preserve"> DE VENTAS REALIZO MARIA VADO</t>
    </r>
  </si>
  <si>
    <t>utilizar las funciones necesarias para que el texto quede asi</t>
  </si>
  <si>
    <t>utilizar las funciones necesarias para que la cedula quede asi</t>
  </si>
  <si>
    <t>valor por hora trabajada</t>
  </si>
  <si>
    <t>formato hora</t>
  </si>
  <si>
    <t>formato numerico</t>
  </si>
  <si>
    <t>formato MONEDA</t>
  </si>
  <si>
    <t>vehiculos</t>
  </si>
  <si>
    <t>Salida</t>
  </si>
  <si>
    <t>Entrada</t>
  </si>
  <si>
    <t>1ra forma</t>
  </si>
  <si>
    <t>2da forma</t>
  </si>
  <si>
    <t>3ra forma</t>
  </si>
  <si>
    <t>4ta forma</t>
  </si>
  <si>
    <t>calculo x hora</t>
  </si>
  <si>
    <t>calculo x valor</t>
  </si>
  <si>
    <t>camion 1</t>
  </si>
  <si>
    <t>camion 2</t>
  </si>
  <si>
    <t>camion 3</t>
  </si>
  <si>
    <t>camion 4</t>
  </si>
  <si>
    <t>camion 5</t>
  </si>
  <si>
    <t>camion 6</t>
  </si>
  <si>
    <t>camion 7</t>
  </si>
  <si>
    <t>camion 8</t>
  </si>
  <si>
    <t>camion 9</t>
  </si>
  <si>
    <t>camion 10</t>
  </si>
  <si>
    <t>camion 11</t>
  </si>
  <si>
    <t>camion 12</t>
  </si>
  <si>
    <t>camion 13</t>
  </si>
  <si>
    <t>camion 14</t>
  </si>
  <si>
    <t>entrada - salida</t>
  </si>
  <si>
    <t>entrada - salida + 1</t>
  </si>
  <si>
    <t>condicional. Si la salida es mayor que la entrada. Entonces aplique entrada - salida + 1, de lo contrario  entrada -salida</t>
  </si>
  <si>
    <t>aplique funcion residuo(entrada-salida);1</t>
  </si>
  <si>
    <t>LUEGO PASARLO A FORMATO NUMERICO, MULTIPLICANDO CADA RESULTADO POR 24</t>
  </si>
  <si>
    <t>POR ULTIMO. CALCULAR EL TIEMPO EN HORAS POR EL VALOR DE LA HORA</t>
  </si>
  <si>
    <t>Total de Hrs</t>
  </si>
  <si>
    <t>EQ En Num</t>
  </si>
  <si>
    <t>Total a Pagar</t>
  </si>
  <si>
    <t>PROMEDIO</t>
  </si>
  <si>
    <t>CANATIDAD</t>
  </si>
  <si>
    <t>CONDICIONAL</t>
  </si>
  <si>
    <t>RICARDO DE JESUS VARELA HERNANDEZ</t>
  </si>
  <si>
    <t>VERÓNICA MARÍA MÉNDEZ</t>
  </si>
  <si>
    <t>MARIO DANIEL PALACIO RUIZ</t>
  </si>
  <si>
    <t>MARICELA AUXILIADORA PEÑA  DÍAZ</t>
  </si>
  <si>
    <t>MILDRED RÍOS PALACIOS</t>
  </si>
  <si>
    <t>JULIO CESAR ZAVALA PÉREZ</t>
  </si>
  <si>
    <t>JUANA ACUÑA LÓPEZ</t>
  </si>
  <si>
    <t>MARITZA DEL CARMEN MORALES HERRERA</t>
  </si>
  <si>
    <t>EDDY EFRAÍN  SALAZAR</t>
  </si>
  <si>
    <t>KEVIN DANILO REYES</t>
  </si>
  <si>
    <t>EVELING DEL ROSARIO PANIAGUA ROMERO</t>
  </si>
  <si>
    <t>CÁNDIDO IGNACIO DÍAZ GÓMEZ</t>
  </si>
  <si>
    <t>AURORA ARGENTINA MARTINEZ MENDEZ</t>
  </si>
  <si>
    <t>LEONOR PÉREZ LÓPEZ</t>
  </si>
  <si>
    <t>MICHEL CAROLINA  GÓMEZ</t>
  </si>
  <si>
    <t>LESLIE ELIEZER HERNÁNDEZ</t>
  </si>
  <si>
    <t>MILTON JAVIER GUERRERO SÁNCHEZ</t>
  </si>
  <si>
    <t>JOEL ALBERTO PONCE</t>
  </si>
  <si>
    <t>JULIO ALBERTO GARCÍA</t>
  </si>
  <si>
    <t>LUIS HUMBERTO JEREZ GARCÍA</t>
  </si>
  <si>
    <t>SANDRA GARCÍA ALMENDARES</t>
  </si>
  <si>
    <t>MIUREL ANELKY MARTÍNEZ</t>
  </si>
  <si>
    <t>"LARGO"</t>
  </si>
  <si>
    <t>"EXTRAE"</t>
  </si>
  <si>
    <t>"IZQUIERDA"</t>
  </si>
  <si>
    <t>"DERECHA"</t>
  </si>
  <si>
    <t>"HALLAR"</t>
  </si>
  <si>
    <t>DPTO NOMPROPIO</t>
  </si>
  <si>
    <t>NOMBRE DE EMPLEADOS/ NOMPROPIO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</si>
</sst>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C$&quot;* #,##0.00_-;\-&quot;C$&quot;* #,##0.00_-;_-&quot;C$&quot;* &quot;-&quot;??_-;_-@_-"/>
    <numFmt numFmtId="165" formatCode="_-* #,##0.00\ _€_-;\-* #,##0.00\ _€_-;_-* &quot;-&quot;??\ _€_-;_-@_-"/>
    <numFmt numFmtId="166" formatCode="[$-F400]h:mm:ss\ AM/PM"/>
    <numFmt numFmtId="167" formatCode="dd/m/yyyy"/>
    <numFmt numFmtId="168" formatCode="_(&quot;₡&quot;* #,##0.00_);_(&quot;₡&quot;* \(#,##0.00\);_(&quot;₡&quot;* &quot;-&quot;??_);_(@_)"/>
    <numFmt numFmtId="169" formatCode="_-* #,##0\ _€_-;\-* #,##0\ _€_-;_-* &quot;-&quot;??\ _€_-;_-@_-"/>
    <numFmt numFmtId="170" formatCode="[$-409]h:mm\ AM/PM;@"/>
    <numFmt numFmtId="171" formatCode="0.0"/>
    <numFmt numFmtId="172" formatCode="#,##0.000"/>
  </numFmts>
  <fonts count="5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tang"/>
      <family val="1"/>
    </font>
    <font>
      <b/>
      <sz val="14"/>
      <color theme="1"/>
      <name val="Batang"/>
      <family val="1"/>
    </font>
    <font>
      <b/>
      <sz val="14"/>
      <color rgb="FF000000"/>
      <name val="Batang"/>
      <family val="1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1"/>
      <color indexed="9"/>
      <name val="Calibri"/>
      <family val="2"/>
    </font>
    <font>
      <sz val="11"/>
      <color rgb="FF131313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Helvetica Neu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rgb="FFFF0000"/>
      <name val="Algerian"/>
      <family val="5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001D35"/>
      <name val="Arial"/>
      <family val="2"/>
    </font>
    <font>
      <b/>
      <sz val="14"/>
      <color rgb="FFFF0000"/>
      <name val="Arial"/>
      <family val="2"/>
    </font>
    <font>
      <b/>
      <sz val="24"/>
      <color theme="1"/>
      <name val="Calibri"/>
      <family val="2"/>
      <scheme val="minor"/>
    </font>
    <font>
      <b/>
      <sz val="16"/>
      <color rgb="FF000000"/>
      <name val="Cambria"/>
      <family val="1"/>
    </font>
    <font>
      <b/>
      <sz val="16"/>
      <color theme="1"/>
      <name val="Cambria"/>
      <family val="1"/>
    </font>
    <font>
      <sz val="10"/>
      <color theme="1"/>
      <name val="Wingdings"/>
      <charset val="2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Wingdings"/>
      <charset val="2"/>
    </font>
    <font>
      <u/>
      <sz val="11"/>
      <color theme="1"/>
      <name val="Calibri"/>
      <family val="2"/>
    </font>
    <font>
      <sz val="18"/>
      <color theme="0"/>
      <name val="Calibri"/>
      <family val="2"/>
    </font>
    <font>
      <sz val="18"/>
      <color indexed="8"/>
      <name val="Calibri"/>
      <family val="2"/>
    </font>
    <font>
      <b/>
      <sz val="11"/>
      <color theme="1"/>
      <name val="Baskerville Old Face"/>
      <family val="1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darkUp">
        <fgColor theme="6"/>
        <bgColor rgb="FF00B0F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3A659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EFF6FB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ck">
        <color rgb="FF3A6598"/>
      </left>
      <right/>
      <top style="thick">
        <color rgb="FF3A6598"/>
      </top>
      <bottom/>
      <diagonal/>
    </border>
    <border>
      <left/>
      <right/>
      <top style="thick">
        <color rgb="FF3A6598"/>
      </top>
      <bottom/>
      <diagonal/>
    </border>
    <border>
      <left/>
      <right style="thick">
        <color rgb="FF3A6598"/>
      </right>
      <top style="thick">
        <color rgb="FF3A6598"/>
      </top>
      <bottom/>
      <diagonal/>
    </border>
    <border>
      <left style="thick">
        <color rgb="FF3A6598"/>
      </left>
      <right/>
      <top/>
      <bottom style="thick">
        <color rgb="FF3A6598"/>
      </bottom>
      <diagonal/>
    </border>
    <border>
      <left/>
      <right/>
      <top/>
      <bottom style="thick">
        <color rgb="FF3A6598"/>
      </bottom>
      <diagonal/>
    </border>
    <border>
      <left/>
      <right style="thick">
        <color rgb="FF3A6598"/>
      </right>
      <top/>
      <bottom style="thick">
        <color rgb="FF3A6598"/>
      </bottom>
      <diagonal/>
    </border>
    <border>
      <left/>
      <right/>
      <top style="medium">
        <color rgb="FF3A659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9" fillId="0" borderId="0"/>
    <xf numFmtId="0" fontId="16" fillId="0" borderId="0"/>
    <xf numFmtId="0" fontId="22" fillId="0" borderId="0"/>
    <xf numFmtId="0" fontId="9" fillId="0" borderId="0"/>
    <xf numFmtId="0" fontId="29" fillId="0" borderId="0"/>
    <xf numFmtId="165" fontId="9" fillId="0" borderId="0" applyFont="0" applyFill="0" applyBorder="0" applyAlignment="0" applyProtection="0"/>
    <xf numFmtId="0" fontId="1" fillId="16" borderId="29" applyNumberFormat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168" fontId="9" fillId="0" borderId="0" applyFont="0" applyFill="0" applyBorder="0" applyAlignment="0" applyProtection="0"/>
    <xf numFmtId="0" fontId="22" fillId="0" borderId="0"/>
    <xf numFmtId="165" fontId="9" fillId="0" borderId="0" applyFont="0" applyFill="0" applyBorder="0" applyAlignment="0" applyProtection="0"/>
    <xf numFmtId="0" fontId="9" fillId="0" borderId="0"/>
  </cellStyleXfs>
  <cellXfs count="24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4" fillId="0" borderId="0" xfId="0" applyFont="1" applyAlignment="1">
      <alignment horizontal="left" vertical="center" indent="3" readingOrder="1"/>
    </xf>
    <xf numFmtId="0" fontId="4" fillId="0" borderId="0" xfId="0" applyFont="1"/>
    <xf numFmtId="0" fontId="3" fillId="0" borderId="0" xfId="0" applyFont="1"/>
    <xf numFmtId="0" fontId="0" fillId="0" borderId="8" xfId="0" applyBorder="1"/>
    <xf numFmtId="0" fontId="6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9" xfId="0" applyFont="1" applyBorder="1" applyAlignment="1">
      <alignment horizontal="left" vertical="center" indent="3" readingOrder="1"/>
    </xf>
    <xf numFmtId="0" fontId="8" fillId="0" borderId="0" xfId="0" applyFont="1" applyAlignment="1">
      <alignment vertical="center"/>
    </xf>
    <xf numFmtId="0" fontId="0" fillId="3" borderId="0" xfId="0" applyFill="1"/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9" fillId="0" borderId="0" xfId="1"/>
    <xf numFmtId="0" fontId="9" fillId="0" borderId="0" xfId="1" applyAlignment="1">
      <alignment horizontal="center"/>
    </xf>
    <xf numFmtId="0" fontId="9" fillId="0" borderId="1" xfId="1" applyBorder="1" applyAlignment="1">
      <alignment horizontal="center"/>
    </xf>
    <xf numFmtId="0" fontId="12" fillId="0" borderId="1" xfId="1" applyFont="1" applyBorder="1" applyAlignment="1">
      <alignment horizontal="left"/>
    </xf>
    <xf numFmtId="0" fontId="7" fillId="6" borderId="0" xfId="1" applyFont="1" applyFill="1" applyAlignment="1">
      <alignment horizontal="center"/>
    </xf>
    <xf numFmtId="0" fontId="9" fillId="6" borderId="0" xfId="1" applyFill="1"/>
    <xf numFmtId="15" fontId="11" fillId="0" borderId="0" xfId="1" applyNumberFormat="1" applyFont="1"/>
    <xf numFmtId="0" fontId="13" fillId="0" borderId="0" xfId="1" applyFont="1"/>
    <xf numFmtId="0" fontId="14" fillId="0" borderId="0" xfId="1" applyFont="1"/>
    <xf numFmtId="0" fontId="0" fillId="0" borderId="0" xfId="1" applyFont="1"/>
    <xf numFmtId="0" fontId="16" fillId="0" borderId="0" xfId="2"/>
    <xf numFmtId="0" fontId="17" fillId="7" borderId="0" xfId="2" applyFont="1" applyFill="1"/>
    <xf numFmtId="0" fontId="17" fillId="5" borderId="0" xfId="2" applyFont="1" applyFill="1" applyAlignment="1">
      <alignment horizontal="center"/>
    </xf>
    <xf numFmtId="167" fontId="16" fillId="0" borderId="0" xfId="2" applyNumberFormat="1" applyAlignment="1">
      <alignment horizontal="center"/>
    </xf>
    <xf numFmtId="0" fontId="16" fillId="0" borderId="0" xfId="2" applyAlignment="1">
      <alignment horizontal="center"/>
    </xf>
    <xf numFmtId="0" fontId="17" fillId="7" borderId="0" xfId="2" applyFont="1" applyFill="1" applyAlignment="1">
      <alignment horizontal="center"/>
    </xf>
    <xf numFmtId="0" fontId="18" fillId="0" borderId="0" xfId="2" applyFont="1"/>
    <xf numFmtId="0" fontId="19" fillId="0" borderId="0" xfId="2" applyFont="1"/>
    <xf numFmtId="0" fontId="19" fillId="0" borderId="0" xfId="2" applyFont="1" applyAlignment="1">
      <alignment horizontal="center"/>
    </xf>
    <xf numFmtId="0" fontId="15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9" borderId="1" xfId="0" applyFill="1" applyBorder="1"/>
    <xf numFmtId="14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8" borderId="1" xfId="0" applyFont="1" applyFill="1" applyBorder="1"/>
    <xf numFmtId="0" fontId="0" fillId="11" borderId="1" xfId="0" applyFill="1" applyBorder="1"/>
    <xf numFmtId="0" fontId="10" fillId="8" borderId="1" xfId="0" applyFont="1" applyFill="1" applyBorder="1"/>
    <xf numFmtId="0" fontId="22" fillId="12" borderId="0" xfId="3" applyFill="1"/>
    <xf numFmtId="0" fontId="22" fillId="0" borderId="0" xfId="3"/>
    <xf numFmtId="0" fontId="22" fillId="13" borderId="0" xfId="3" applyFill="1"/>
    <xf numFmtId="0" fontId="23" fillId="11" borderId="4" xfId="3" applyFont="1" applyFill="1" applyBorder="1" applyAlignment="1">
      <alignment horizontal="center"/>
    </xf>
    <xf numFmtId="0" fontId="24" fillId="0" borderId="4" xfId="3" applyFont="1" applyBorder="1" applyAlignment="1">
      <alignment horizontal="center"/>
    </xf>
    <xf numFmtId="0" fontId="26" fillId="0" borderId="0" xfId="3" applyFont="1"/>
    <xf numFmtId="0" fontId="22" fillId="0" borderId="1" xfId="3" applyBorder="1" applyAlignment="1">
      <alignment horizontal="center"/>
    </xf>
    <xf numFmtId="0" fontId="22" fillId="0" borderId="1" xfId="3" applyBorder="1"/>
    <xf numFmtId="0" fontId="27" fillId="0" borderId="1" xfId="3" applyFont="1" applyBorder="1"/>
    <xf numFmtId="0" fontId="27" fillId="0" borderId="0" xfId="3" applyFont="1"/>
    <xf numFmtId="0" fontId="9" fillId="0" borderId="0" xfId="4"/>
    <xf numFmtId="0" fontId="29" fillId="0" borderId="0" xfId="5"/>
    <xf numFmtId="0" fontId="9" fillId="4" borderId="0" xfId="4" applyFill="1"/>
    <xf numFmtId="0" fontId="27" fillId="9" borderId="1" xfId="4" applyFont="1" applyFill="1" applyBorder="1" applyAlignment="1">
      <alignment horizontal="center"/>
    </xf>
    <xf numFmtId="0" fontId="22" fillId="0" borderId="1" xfId="4" applyFont="1" applyBorder="1"/>
    <xf numFmtId="0" fontId="30" fillId="0" borderId="1" xfId="4" applyFont="1" applyBorder="1"/>
    <xf numFmtId="0" fontId="22" fillId="0" borderId="1" xfId="4" applyFont="1" applyBorder="1" applyAlignment="1">
      <alignment horizontal="left"/>
    </xf>
    <xf numFmtId="0" fontId="9" fillId="0" borderId="1" xfId="4" applyBorder="1"/>
    <xf numFmtId="0" fontId="10" fillId="4" borderId="1" xfId="4" applyFont="1" applyFill="1" applyBorder="1"/>
    <xf numFmtId="0" fontId="22" fillId="0" borderId="27" xfId="4" applyFont="1" applyBorder="1"/>
    <xf numFmtId="0" fontId="22" fillId="0" borderId="28" xfId="4" applyFont="1" applyBorder="1"/>
    <xf numFmtId="0" fontId="31" fillId="11" borderId="6" xfId="3" applyFont="1" applyFill="1" applyBorder="1"/>
    <xf numFmtId="0" fontId="31" fillId="11" borderId="8" xfId="3" applyFont="1" applyFill="1" applyBorder="1"/>
    <xf numFmtId="0" fontId="31" fillId="0" borderId="0" xfId="3" applyFont="1"/>
    <xf numFmtId="0" fontId="25" fillId="15" borderId="1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/>
    </xf>
    <xf numFmtId="0" fontId="2" fillId="0" borderId="0" xfId="0" applyFont="1"/>
    <xf numFmtId="0" fontId="34" fillId="0" borderId="12" xfId="0" applyFont="1" applyBorder="1"/>
    <xf numFmtId="0" fontId="10" fillId="21" borderId="0" xfId="11" applyFill="1"/>
    <xf numFmtId="0" fontId="10" fillId="21" borderId="0" xfId="9" applyFill="1"/>
    <xf numFmtId="0" fontId="10" fillId="18" borderId="1" xfId="9" applyBorder="1" applyAlignment="1">
      <alignment horizontal="center"/>
    </xf>
    <xf numFmtId="0" fontId="10" fillId="19" borderId="1" xfId="10" applyBorder="1" applyAlignment="1">
      <alignment horizontal="center"/>
    </xf>
    <xf numFmtId="0" fontId="0" fillId="0" borderId="1" xfId="0" applyBorder="1" applyAlignment="1">
      <alignment horizontal="left"/>
    </xf>
    <xf numFmtId="0" fontId="10" fillId="20" borderId="1" xfId="11" applyBorder="1" applyAlignment="1">
      <alignment horizontal="center"/>
    </xf>
    <xf numFmtId="0" fontId="10" fillId="22" borderId="1" xfId="0" applyFont="1" applyFill="1" applyBorder="1" applyAlignment="1">
      <alignment horizontal="center"/>
    </xf>
    <xf numFmtId="0" fontId="10" fillId="22" borderId="11" xfId="0" applyFont="1" applyFill="1" applyBorder="1" applyAlignment="1">
      <alignment horizontal="center"/>
    </xf>
    <xf numFmtId="0" fontId="0" fillId="0" borderId="1" xfId="12" applyNumberFormat="1" applyFont="1" applyBorder="1" applyAlignment="1">
      <alignment horizontal="center"/>
    </xf>
    <xf numFmtId="0" fontId="10" fillId="23" borderId="1" xfId="8" applyFill="1" applyBorder="1" applyAlignment="1">
      <alignment horizontal="center"/>
    </xf>
    <xf numFmtId="168" fontId="0" fillId="0" borderId="1" xfId="12" applyFont="1" applyBorder="1"/>
    <xf numFmtId="168" fontId="0" fillId="0" borderId="1" xfId="12" applyFont="1" applyBorder="1" applyAlignment="1">
      <alignment horizontal="left"/>
    </xf>
    <xf numFmtId="0" fontId="1" fillId="25" borderId="1" xfId="0" applyFont="1" applyFill="1" applyBorder="1"/>
    <xf numFmtId="0" fontId="37" fillId="0" borderId="0" xfId="0" applyFont="1" applyAlignment="1">
      <alignment vertical="justify" wrapText="1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0" xfId="0" applyFont="1"/>
    <xf numFmtId="0" fontId="40" fillId="15" borderId="1" xfId="3" applyFont="1" applyFill="1" applyBorder="1" applyAlignment="1">
      <alignment horizontal="center" vertical="center" wrapText="1"/>
    </xf>
    <xf numFmtId="0" fontId="41" fillId="0" borderId="0" xfId="3" applyFont="1"/>
    <xf numFmtId="0" fontId="0" fillId="2" borderId="0" xfId="0" applyFill="1"/>
    <xf numFmtId="0" fontId="0" fillId="2" borderId="0" xfId="0" applyFill="1" applyAlignment="1">
      <alignment horizontal="center"/>
    </xf>
    <xf numFmtId="0" fontId="47" fillId="0" borderId="0" xfId="13" applyFont="1"/>
    <xf numFmtId="0" fontId="22" fillId="0" borderId="0" xfId="13"/>
    <xf numFmtId="0" fontId="22" fillId="4" borderId="0" xfId="13" applyFill="1"/>
    <xf numFmtId="0" fontId="48" fillId="0" borderId="0" xfId="13" applyFont="1" applyAlignment="1">
      <alignment vertical="center"/>
    </xf>
    <xf numFmtId="0" fontId="22" fillId="0" borderId="0" xfId="13" applyAlignment="1">
      <alignment vertical="center"/>
    </xf>
    <xf numFmtId="0" fontId="49" fillId="0" borderId="0" xfId="13" applyFont="1" applyAlignment="1">
      <alignment horizontal="left" vertical="center" indent="4"/>
    </xf>
    <xf numFmtId="0" fontId="51" fillId="0" borderId="0" xfId="13" applyFont="1" applyAlignment="1">
      <alignment horizontal="left" vertical="center"/>
    </xf>
    <xf numFmtId="0" fontId="40" fillId="4" borderId="0" xfId="13" applyFont="1" applyFill="1"/>
    <xf numFmtId="0" fontId="22" fillId="12" borderId="0" xfId="13" applyFill="1"/>
    <xf numFmtId="0" fontId="22" fillId="0" borderId="28" xfId="13" applyBorder="1"/>
    <xf numFmtId="0" fontId="27" fillId="0" borderId="1" xfId="13" applyFont="1" applyBorder="1"/>
    <xf numFmtId="0" fontId="22" fillId="0" borderId="1" xfId="13" applyBorder="1"/>
    <xf numFmtId="0" fontId="9" fillId="5" borderId="1" xfId="1" applyFill="1" applyBorder="1" applyAlignment="1">
      <alignment horizontal="center" wrapText="1"/>
    </xf>
    <xf numFmtId="0" fontId="11" fillId="5" borderId="1" xfId="1" applyFont="1" applyFill="1" applyBorder="1" applyAlignment="1">
      <alignment horizontal="center" wrapText="1"/>
    </xf>
    <xf numFmtId="0" fontId="9" fillId="0" borderId="0" xfId="1" applyAlignment="1">
      <alignment wrapText="1"/>
    </xf>
    <xf numFmtId="0" fontId="1" fillId="8" borderId="1" xfId="0" applyFont="1" applyFill="1" applyBorder="1" applyAlignment="1">
      <alignment horizontal="center"/>
    </xf>
    <xf numFmtId="0" fontId="9" fillId="0" borderId="0" xfId="15"/>
    <xf numFmtId="0" fontId="55" fillId="0" borderId="12" xfId="15" applyFont="1" applyBorder="1" applyAlignment="1">
      <alignment horizontal="center" vertical="distributed" wrapText="1"/>
    </xf>
    <xf numFmtId="0" fontId="55" fillId="0" borderId="0" xfId="15" applyFont="1" applyAlignment="1">
      <alignment horizontal="center" vertical="distributed" wrapText="1"/>
    </xf>
    <xf numFmtId="0" fontId="55" fillId="0" borderId="30" xfId="15" applyFont="1" applyBorder="1" applyAlignment="1">
      <alignment horizontal="center" vertical="distributed" wrapText="1"/>
    </xf>
    <xf numFmtId="0" fontId="10" fillId="28" borderId="28" xfId="15" applyFont="1" applyFill="1" applyBorder="1"/>
    <xf numFmtId="0" fontId="10" fillId="28" borderId="0" xfId="15" applyFont="1" applyFill="1"/>
    <xf numFmtId="0" fontId="9" fillId="0" borderId="0" xfId="15" applyAlignment="1">
      <alignment horizontal="center"/>
    </xf>
    <xf numFmtId="0" fontId="9" fillId="0" borderId="1" xfId="15" applyBorder="1"/>
    <xf numFmtId="169" fontId="9" fillId="0" borderId="1" xfId="14" applyNumberFormat="1" applyBorder="1"/>
    <xf numFmtId="169" fontId="56" fillId="2" borderId="1" xfId="14" applyNumberFormat="1" applyFont="1" applyFill="1" applyBorder="1"/>
    <xf numFmtId="0" fontId="10" fillId="28" borderId="1" xfId="15" applyFont="1" applyFill="1" applyBorder="1"/>
    <xf numFmtId="165" fontId="10" fillId="28" borderId="28" xfId="14" applyFont="1" applyFill="1" applyBorder="1"/>
    <xf numFmtId="0" fontId="9" fillId="0" borderId="0" xfId="15" applyProtection="1">
      <protection locked="0"/>
    </xf>
    <xf numFmtId="0" fontId="2" fillId="0" borderId="0" xfId="0" applyFont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170" fontId="0" fillId="24" borderId="1" xfId="0" applyNumberFormat="1" applyFill="1" applyBorder="1" applyAlignment="1">
      <alignment horizontal="center"/>
    </xf>
    <xf numFmtId="166" fontId="0" fillId="33" borderId="1" xfId="0" applyNumberFormat="1" applyFill="1" applyBorder="1" applyAlignment="1">
      <alignment horizontal="center"/>
    </xf>
    <xf numFmtId="4" fontId="0" fillId="34" borderId="1" xfId="0" applyNumberFormat="1" applyFill="1" applyBorder="1" applyAlignment="1">
      <alignment horizontal="center"/>
    </xf>
    <xf numFmtId="4" fontId="0" fillId="35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1" fontId="22" fillId="0" borderId="1" xfId="13" applyNumberFormat="1" applyBorder="1"/>
    <xf numFmtId="4" fontId="22" fillId="0" borderId="1" xfId="13" applyNumberFormat="1" applyBorder="1"/>
    <xf numFmtId="0" fontId="22" fillId="0" borderId="11" xfId="13" applyBorder="1"/>
    <xf numFmtId="4" fontId="0" fillId="0" borderId="1" xfId="0" applyNumberFormat="1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1" fontId="9" fillId="0" borderId="1" xfId="1" applyNumberFormat="1" applyBorder="1" applyAlignment="1">
      <alignment horizontal="center"/>
    </xf>
    <xf numFmtId="2" fontId="16" fillId="0" borderId="0" xfId="2" applyNumberFormat="1" applyAlignment="1">
      <alignment horizontal="center"/>
    </xf>
    <xf numFmtId="169" fontId="56" fillId="2" borderId="1" xfId="15" applyNumberFormat="1" applyFont="1" applyFill="1" applyBorder="1"/>
    <xf numFmtId="10" fontId="56" fillId="2" borderId="1" xfId="14" applyNumberFormat="1" applyFont="1" applyFill="1" applyBorder="1"/>
    <xf numFmtId="10" fontId="56" fillId="2" borderId="1" xfId="15" applyNumberFormat="1" applyFont="1" applyFill="1" applyBorder="1"/>
    <xf numFmtId="9" fontId="56" fillId="2" borderId="1" xfId="14" applyNumberFormat="1" applyFont="1" applyFill="1" applyBorder="1"/>
    <xf numFmtId="9" fontId="56" fillId="2" borderId="1" xfId="15" applyNumberFormat="1" applyFont="1" applyFill="1" applyBorder="1"/>
    <xf numFmtId="14" fontId="22" fillId="0" borderId="26" xfId="3" applyNumberFormat="1" applyBorder="1" applyAlignment="1">
      <alignment horizontal="center"/>
    </xf>
    <xf numFmtId="0" fontId="22" fillId="0" borderId="24" xfId="3" applyBorder="1" applyAlignment="1">
      <alignment horizontal="center"/>
    </xf>
    <xf numFmtId="0" fontId="25" fillId="14" borderId="23" xfId="3" applyFont="1" applyFill="1" applyBorder="1"/>
    <xf numFmtId="0" fontId="25" fillId="14" borderId="28" xfId="3" applyFont="1" applyFill="1" applyBorder="1"/>
    <xf numFmtId="0" fontId="25" fillId="14" borderId="22" xfId="3" applyFont="1" applyFill="1" applyBorder="1"/>
    <xf numFmtId="14" fontId="22" fillId="0" borderId="21" xfId="3" applyNumberFormat="1" applyBorder="1" applyAlignment="1">
      <alignment horizontal="center"/>
    </xf>
    <xf numFmtId="0" fontId="22" fillId="0" borderId="39" xfId="3" applyBorder="1" applyAlignment="1">
      <alignment horizontal="center"/>
    </xf>
    <xf numFmtId="0" fontId="22" fillId="0" borderId="39" xfId="3" applyBorder="1"/>
    <xf numFmtId="0" fontId="22" fillId="0" borderId="20" xfId="3" applyBorder="1" applyAlignment="1">
      <alignment horizontal="center"/>
    </xf>
    <xf numFmtId="4" fontId="27" fillId="0" borderId="1" xfId="3" applyNumberFormat="1" applyFont="1" applyBorder="1"/>
    <xf numFmtId="172" fontId="27" fillId="0" borderId="1" xfId="3" applyNumberFormat="1" applyFont="1" applyBorder="1"/>
    <xf numFmtId="0" fontId="22" fillId="0" borderId="26" xfId="4" applyFont="1" applyBorder="1"/>
    <xf numFmtId="164" fontId="22" fillId="0" borderId="24" xfId="6" applyNumberFormat="1" applyFont="1" applyBorder="1"/>
    <xf numFmtId="0" fontId="27" fillId="9" borderId="23" xfId="4" applyFont="1" applyFill="1" applyBorder="1" applyAlignment="1">
      <alignment horizontal="center"/>
    </xf>
    <xf numFmtId="0" fontId="27" fillId="9" borderId="28" xfId="4" applyFont="1" applyFill="1" applyBorder="1" applyAlignment="1">
      <alignment horizontal="center"/>
    </xf>
    <xf numFmtId="165" fontId="27" fillId="9" borderId="22" xfId="6" applyFont="1" applyFill="1" applyBorder="1" applyAlignment="1">
      <alignment horizontal="center"/>
    </xf>
    <xf numFmtId="0" fontId="22" fillId="0" borderId="21" xfId="4" applyFont="1" applyBorder="1"/>
    <xf numFmtId="0" fontId="22" fillId="0" borderId="39" xfId="4" applyFont="1" applyBorder="1"/>
    <xf numFmtId="0" fontId="30" fillId="0" borderId="39" xfId="4" applyFont="1" applyBorder="1"/>
    <xf numFmtId="0" fontId="22" fillId="0" borderId="39" xfId="4" applyFont="1" applyBorder="1" applyAlignment="1">
      <alignment horizontal="left"/>
    </xf>
    <xf numFmtId="164" fontId="22" fillId="0" borderId="20" xfId="6" applyNumberFormat="1" applyFont="1" applyBorder="1"/>
    <xf numFmtId="4" fontId="9" fillId="0" borderId="1" xfId="4" applyNumberFormat="1" applyBorder="1"/>
    <xf numFmtId="0" fontId="22" fillId="0" borderId="1" xfId="3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31" fillId="11" borderId="0" xfId="3" applyFont="1" applyFill="1"/>
    <xf numFmtId="0" fontId="49" fillId="0" borderId="0" xfId="13" applyFont="1" applyAlignment="1">
      <alignment horizontal="left" vertical="center" wrapText="1"/>
    </xf>
    <xf numFmtId="0" fontId="1" fillId="4" borderId="38" xfId="13" applyFont="1" applyFill="1" applyBorder="1" applyAlignment="1">
      <alignment horizontal="right"/>
    </xf>
    <xf numFmtId="0" fontId="22" fillId="0" borderId="1" xfId="13" applyBorder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46" fillId="27" borderId="0" xfId="0" applyFont="1" applyFill="1" applyAlignment="1">
      <alignment horizontal="center" vertical="center"/>
    </xf>
    <xf numFmtId="0" fontId="44" fillId="0" borderId="0" xfId="0" applyFont="1" applyAlignment="1">
      <alignment horizontal="left" wrapText="1"/>
    </xf>
    <xf numFmtId="0" fontId="43" fillId="2" borderId="0" xfId="0" applyFont="1" applyFill="1" applyAlignment="1">
      <alignment horizontal="center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" fillId="30" borderId="38" xfId="0" applyFont="1" applyFill="1" applyBorder="1" applyAlignment="1">
      <alignment horizontal="center"/>
    </xf>
    <xf numFmtId="0" fontId="1" fillId="31" borderId="38" xfId="0" applyFont="1" applyFill="1" applyBorder="1" applyAlignment="1">
      <alignment horizontal="center"/>
    </xf>
    <xf numFmtId="0" fontId="1" fillId="32" borderId="38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9" fillId="0" borderId="0" xfId="1" applyAlignment="1">
      <alignment horizontal="center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left"/>
    </xf>
    <xf numFmtId="0" fontId="10" fillId="8" borderId="0" xfId="0" applyFont="1" applyFill="1" applyAlignment="1">
      <alignment horizontal="left"/>
    </xf>
    <xf numFmtId="0" fontId="54" fillId="28" borderId="12" xfId="15" applyFont="1" applyFill="1" applyBorder="1" applyAlignment="1">
      <alignment horizontal="center" vertical="distributed" wrapText="1"/>
    </xf>
    <xf numFmtId="0" fontId="54" fillId="28" borderId="0" xfId="15" applyFont="1" applyFill="1" applyAlignment="1">
      <alignment horizontal="center" vertical="distributed" wrapText="1"/>
    </xf>
    <xf numFmtId="165" fontId="27" fillId="9" borderId="20" xfId="6" applyFont="1" applyFill="1" applyBorder="1" applyAlignment="1">
      <alignment horizontal="center" wrapText="1"/>
    </xf>
    <xf numFmtId="165" fontId="27" fillId="9" borderId="21" xfId="6" applyFont="1" applyFill="1" applyBorder="1" applyAlignment="1">
      <alignment horizontal="center" wrapText="1"/>
    </xf>
    <xf numFmtId="165" fontId="27" fillId="9" borderId="22" xfId="6" applyFont="1" applyFill="1" applyBorder="1" applyAlignment="1">
      <alignment horizontal="center" wrapText="1"/>
    </xf>
    <xf numFmtId="165" fontId="27" fillId="9" borderId="23" xfId="6" applyFont="1" applyFill="1" applyBorder="1" applyAlignment="1">
      <alignment horizontal="center" wrapText="1"/>
    </xf>
    <xf numFmtId="165" fontId="27" fillId="9" borderId="1" xfId="6" applyFont="1" applyFill="1" applyBorder="1" applyAlignment="1">
      <alignment horizontal="center" wrapText="1"/>
    </xf>
    <xf numFmtId="0" fontId="27" fillId="9" borderId="24" xfId="4" applyFont="1" applyFill="1" applyBorder="1" applyAlignment="1">
      <alignment horizontal="center"/>
    </xf>
    <xf numFmtId="0" fontId="27" fillId="9" borderId="25" xfId="4" applyFont="1" applyFill="1" applyBorder="1" applyAlignment="1">
      <alignment horizontal="center"/>
    </xf>
    <xf numFmtId="0" fontId="27" fillId="9" borderId="26" xfId="4" applyFont="1" applyFill="1" applyBorder="1" applyAlignment="1">
      <alignment horizontal="center"/>
    </xf>
    <xf numFmtId="0" fontId="22" fillId="0" borderId="0" xfId="3" applyAlignment="1">
      <alignment horizontal="center" wrapText="1"/>
    </xf>
    <xf numFmtId="0" fontId="41" fillId="12" borderId="0" xfId="3" applyFont="1" applyFill="1" applyAlignment="1">
      <alignment horizontal="center" vertical="center" wrapText="1"/>
    </xf>
    <xf numFmtId="0" fontId="41" fillId="12" borderId="38" xfId="3" applyFont="1" applyFill="1" applyBorder="1" applyAlignment="1">
      <alignment horizontal="center" vertical="center" wrapText="1"/>
    </xf>
    <xf numFmtId="0" fontId="41" fillId="29" borderId="0" xfId="3" applyFont="1" applyFill="1" applyAlignment="1">
      <alignment horizontal="right" wrapText="1"/>
    </xf>
    <xf numFmtId="0" fontId="22" fillId="0" borderId="0" xfId="3" applyAlignment="1">
      <alignment horizontal="left" wrapText="1"/>
    </xf>
    <xf numFmtId="49" fontId="0" fillId="24" borderId="31" xfId="0" applyNumberFormat="1" applyFill="1" applyBorder="1" applyAlignment="1">
      <alignment horizontal="justify" vertical="justify" wrapText="1"/>
    </xf>
    <xf numFmtId="49" fontId="0" fillId="24" borderId="32" xfId="0" applyNumberFormat="1" applyFill="1" applyBorder="1" applyAlignment="1">
      <alignment horizontal="justify" vertical="justify" wrapText="1"/>
    </xf>
    <xf numFmtId="49" fontId="0" fillId="24" borderId="33" xfId="0" applyNumberFormat="1" applyFill="1" applyBorder="1" applyAlignment="1">
      <alignment horizontal="justify" vertical="justify" wrapText="1"/>
    </xf>
    <xf numFmtId="49" fontId="0" fillId="24" borderId="34" xfId="0" applyNumberFormat="1" applyFill="1" applyBorder="1" applyAlignment="1">
      <alignment horizontal="justify" vertical="justify" wrapText="1"/>
    </xf>
    <xf numFmtId="49" fontId="0" fillId="24" borderId="35" xfId="0" applyNumberFormat="1" applyFill="1" applyBorder="1" applyAlignment="1">
      <alignment horizontal="justify" vertical="justify" wrapText="1"/>
    </xf>
    <xf numFmtId="49" fontId="0" fillId="24" borderId="36" xfId="0" applyNumberFormat="1" applyFill="1" applyBorder="1" applyAlignment="1">
      <alignment horizontal="justify" vertical="justify" wrapText="1"/>
    </xf>
    <xf numFmtId="0" fontId="37" fillId="0" borderId="37" xfId="0" applyFont="1" applyBorder="1" applyAlignment="1">
      <alignment horizontal="center" vertical="justify" wrapText="1"/>
    </xf>
    <xf numFmtId="0" fontId="37" fillId="0" borderId="0" xfId="0" applyFont="1" applyAlignment="1">
      <alignment horizontal="center" vertical="justify" wrapText="1"/>
    </xf>
    <xf numFmtId="0" fontId="0" fillId="0" borderId="37" xfId="0" applyBorder="1" applyAlignment="1">
      <alignment horizontal="center" vertical="justify" wrapText="1"/>
    </xf>
    <xf numFmtId="0" fontId="0" fillId="0" borderId="0" xfId="0" applyAlignment="1">
      <alignment horizontal="center" vertical="justify" wrapText="1"/>
    </xf>
    <xf numFmtId="0" fontId="33" fillId="6" borderId="29" xfId="7" applyFont="1" applyFill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35" fillId="16" borderId="29" xfId="7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6">
    <cellStyle name="Celda de comprobación" xfId="7" builtinId="23"/>
    <cellStyle name="Énfasis2" xfId="8" builtinId="33"/>
    <cellStyle name="Énfasis3" xfId="9" builtinId="37"/>
    <cellStyle name="Énfasis5" xfId="10" builtinId="45"/>
    <cellStyle name="Énfasis6" xfId="11" builtinId="49"/>
    <cellStyle name="Millares" xfId="14" builtinId="3"/>
    <cellStyle name="Millares 3" xfId="6" xr:uid="{00000000-0005-0000-0000-000006000000}"/>
    <cellStyle name="Moneda 2" xfId="12" xr:uid="{00000000-0005-0000-0000-000007000000}"/>
    <cellStyle name="Normal" xfId="0" builtinId="0"/>
    <cellStyle name="Normal 2" xfId="1" xr:uid="{00000000-0005-0000-0000-000009000000}"/>
    <cellStyle name="Normal 2 2" xfId="13" xr:uid="{00000000-0005-0000-0000-00000A000000}"/>
    <cellStyle name="Normal 3" xfId="2" xr:uid="{00000000-0005-0000-0000-00000B000000}"/>
    <cellStyle name="Normal 3 2" xfId="15" xr:uid="{00000000-0005-0000-0000-00000C000000}"/>
    <cellStyle name="Normal 4" xfId="3" xr:uid="{00000000-0005-0000-0000-00000D000000}"/>
    <cellStyle name="Normal 5" xfId="5" xr:uid="{00000000-0005-0000-0000-00000E000000}"/>
    <cellStyle name="Normal 6" xfId="4" xr:uid="{00000000-0005-0000-0000-00000F000000}"/>
  </cellStyles>
  <dxfs count="47">
    <dxf>
      <font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ill>
        <patternFill>
          <bgColor theme="4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6" tint="-0.24994659260841701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theme="3"/>
      </font>
      <fill>
        <patternFill>
          <bgColor theme="8" tint="0.59996337778862885"/>
        </patternFill>
      </fill>
    </dxf>
    <dxf>
      <font>
        <color rgb="FFCC0000"/>
      </font>
      <fill>
        <patternFill>
          <bgColor rgb="FFFEE6F0"/>
        </patternFill>
      </fill>
    </dxf>
    <dxf>
      <font>
        <color rgb="FFCC0000"/>
      </font>
      <fill>
        <patternFill>
          <bgColor rgb="FFFFE5F0"/>
        </patternFill>
      </fill>
    </dxf>
    <dxf>
      <font>
        <color rgb="FF9C0006"/>
      </font>
      <fill>
        <patternFill>
          <bgColor rgb="FFFFDDE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C$&quot;* #,##0.00_-;\-&quot;C$&quot;* #,##0.00_-;_-&quot;C$&quot;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darkUp">
          <fgColor theme="6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darkUp">
          <fgColor theme="6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005328"/>
        <c:axId val="1830008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'FUNCION MAT_EST (4)'!$B$4</c15:sqref>
                        </c15:formulaRef>
                      </c:ext>
                    </c:extLst>
                    <c:strCache>
                      <c:ptCount val="1"/>
                      <c:pt idx="0">
                        <c:v>Arroz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'FUNCION MAT_EST (4)'!$A$5:$A$17</c15:sqref>
                        </c15:fullRef>
                        <c15:formulaRef>
                          <c15:sqref>'FUNCION MAT_EST (4)'!$A$5:$A$16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'FUNCION MAT_EST (4)'!$B$5:$B$17</c15:sqref>
                        </c15:fullRef>
                        <c15:formulaRef>
                          <c15:sqref>'FUNCION MAT_EST (4)'!$B$5:$B$16</c15:sqref>
                        </c15:formulaRef>
                      </c:ext>
                    </c:extLst>
                    <c:numCache>
                      <c:formatCode>_-* #,##0\ _€_-;\-* #,##0\ _€_-;_-* "-"??\ _€_-;_-@_-</c:formatCode>
                      <c:ptCount val="12"/>
                      <c:pt idx="0">
                        <c:v>5516</c:v>
                      </c:pt>
                      <c:pt idx="1">
                        <c:v>52572</c:v>
                      </c:pt>
                      <c:pt idx="2">
                        <c:v>46647</c:v>
                      </c:pt>
                      <c:pt idx="3">
                        <c:v>61334</c:v>
                      </c:pt>
                      <c:pt idx="4">
                        <c:v>40879</c:v>
                      </c:pt>
                      <c:pt idx="5">
                        <c:v>58971</c:v>
                      </c:pt>
                      <c:pt idx="6">
                        <c:v>93258</c:v>
                      </c:pt>
                      <c:pt idx="7">
                        <c:v>1831</c:v>
                      </c:pt>
                      <c:pt idx="8">
                        <c:v>6764</c:v>
                      </c:pt>
                      <c:pt idx="9">
                        <c:v>2321</c:v>
                      </c:pt>
                      <c:pt idx="10">
                        <c:v>30522</c:v>
                      </c:pt>
                      <c:pt idx="11">
                        <c:v>31569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FD0-4FE3-BE30-85B98A69107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'FUNCION MAT_EST (4)'!$C$4</c15:sqref>
                        </c15:formulaRef>
                      </c:ext>
                    </c:extLst>
                    <c:strCache>
                      <c:ptCount val="1"/>
                      <c:pt idx="0">
                        <c:v>Frijoles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'FUNCION MAT_EST (4)'!$A$5:$A$17</c15:sqref>
                        </c15:fullRef>
                        <c15:formulaRef>
                          <c15:sqref>'FUNCION MAT_EST (4)'!$A$5:$A$16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'FUNCION MAT_EST (4)'!$C$5:$C$17</c15:sqref>
                        </c15:fullRef>
                        <c15:formulaRef>
                          <c15:sqref>'FUNCION MAT_EST (4)'!$C$5:$C$16</c15:sqref>
                        </c15:formulaRef>
                      </c:ext>
                    </c:extLst>
                    <c:numCache>
                      <c:formatCode>_-* #,##0\ _€_-;\-* #,##0\ _€_-;_-* "-"??\ _€_-;_-@_-</c:formatCode>
                      <c:ptCount val="12"/>
                      <c:pt idx="0">
                        <c:v>96290</c:v>
                      </c:pt>
                      <c:pt idx="1">
                        <c:v>81106</c:v>
                      </c:pt>
                      <c:pt idx="2">
                        <c:v>91479</c:v>
                      </c:pt>
                      <c:pt idx="3">
                        <c:v>95571</c:v>
                      </c:pt>
                      <c:pt idx="4">
                        <c:v>88593</c:v>
                      </c:pt>
                      <c:pt idx="5">
                        <c:v>93694</c:v>
                      </c:pt>
                      <c:pt idx="6">
                        <c:v>68878</c:v>
                      </c:pt>
                      <c:pt idx="7">
                        <c:v>71198</c:v>
                      </c:pt>
                      <c:pt idx="8">
                        <c:v>91336</c:v>
                      </c:pt>
                      <c:pt idx="9">
                        <c:v>97091</c:v>
                      </c:pt>
                      <c:pt idx="10">
                        <c:v>39306</c:v>
                      </c:pt>
                      <c:pt idx="11">
                        <c:v>71446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D0-4FE3-BE30-85B98A69107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'FUNCION MAT_EST (4)'!$D$4</c15:sqref>
                        </c15:formulaRef>
                      </c:ext>
                    </c:extLst>
                    <c:strCache>
                      <c:ptCount val="1"/>
                      <c:pt idx="0">
                        <c:v>Azucar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'FUNCION MAT_EST (4)'!$A$5:$A$17</c15:sqref>
                        </c15:fullRef>
                        <c15:formulaRef>
                          <c15:sqref>'FUNCION MAT_EST (4)'!$A$5:$A$16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'FUNCION MAT_EST (4)'!$D$5:$D$17</c15:sqref>
                        </c15:fullRef>
                        <c15:formulaRef>
                          <c15:sqref>'FUNCION MAT_EST (4)'!$D$5:$D$16</c15:sqref>
                        </c15:formulaRef>
                      </c:ext>
                    </c:extLst>
                    <c:numCache>
                      <c:formatCode>_-* #,##0\ _€_-;\-* #,##0\ _€_-;_-* "-"??\ _€_-;_-@_-</c:formatCode>
                      <c:ptCount val="12"/>
                      <c:pt idx="0">
                        <c:v>56694</c:v>
                      </c:pt>
                      <c:pt idx="1">
                        <c:v>79151</c:v>
                      </c:pt>
                      <c:pt idx="2">
                        <c:v>83899</c:v>
                      </c:pt>
                      <c:pt idx="3">
                        <c:v>34821</c:v>
                      </c:pt>
                      <c:pt idx="4">
                        <c:v>55618</c:v>
                      </c:pt>
                      <c:pt idx="5">
                        <c:v>26003</c:v>
                      </c:pt>
                      <c:pt idx="6">
                        <c:v>52644</c:v>
                      </c:pt>
                      <c:pt idx="7">
                        <c:v>14935</c:v>
                      </c:pt>
                      <c:pt idx="8">
                        <c:v>35953</c:v>
                      </c:pt>
                      <c:pt idx="9">
                        <c:v>32548</c:v>
                      </c:pt>
                      <c:pt idx="10">
                        <c:v>17680</c:v>
                      </c:pt>
                      <c:pt idx="11">
                        <c:v>74527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FD0-4FE3-BE30-85B98A69107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'FUNCION MAT_EST (4)'!$E$4</c15:sqref>
                        </c15:formulaRef>
                      </c:ext>
                    </c:extLst>
                    <c:strCache>
                      <c:ptCount val="1"/>
                      <c:pt idx="0">
                        <c:v>Maiz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'FUNCION MAT_EST (4)'!$A$5:$A$17</c15:sqref>
                        </c15:fullRef>
                        <c15:formulaRef>
                          <c15:sqref>'FUNCION MAT_EST (4)'!$A$5:$A$16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'FUNCION MAT_EST (4)'!$E$5:$E$17</c15:sqref>
                        </c15:fullRef>
                        <c15:formulaRef>
                          <c15:sqref>'FUNCION MAT_EST (4)'!$E$5:$E$16</c15:sqref>
                        </c15:formulaRef>
                      </c:ext>
                    </c:extLst>
                    <c:numCache>
                      <c:formatCode>_-* #,##0\ _€_-;\-* #,##0\ _€_-;_-* "-"??\ _€_-;_-@_-</c:formatCode>
                      <c:ptCount val="12"/>
                      <c:pt idx="0">
                        <c:v>27951</c:v>
                      </c:pt>
                      <c:pt idx="1">
                        <c:v>17511</c:v>
                      </c:pt>
                      <c:pt idx="2">
                        <c:v>68859</c:v>
                      </c:pt>
                      <c:pt idx="3">
                        <c:v>98761</c:v>
                      </c:pt>
                      <c:pt idx="4">
                        <c:v>83560</c:v>
                      </c:pt>
                      <c:pt idx="5">
                        <c:v>41823</c:v>
                      </c:pt>
                      <c:pt idx="6">
                        <c:v>72785</c:v>
                      </c:pt>
                      <c:pt idx="7">
                        <c:v>94179</c:v>
                      </c:pt>
                      <c:pt idx="8">
                        <c:v>11950</c:v>
                      </c:pt>
                      <c:pt idx="9">
                        <c:v>80530</c:v>
                      </c:pt>
                      <c:pt idx="10">
                        <c:v>14849</c:v>
                      </c:pt>
                      <c:pt idx="11">
                        <c:v>7017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FD0-4FE3-BE30-85B98A69107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'FUNCION MAT_EST (4)'!$F$4</c15:sqref>
                        </c15:formulaRef>
                      </c:ext>
                    </c:extLst>
                    <c:strCache>
                      <c:ptCount val="1"/>
                      <c:pt idx="0">
                        <c:v>Soya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'FUNCION MAT_EST (4)'!$A$5:$A$17</c15:sqref>
                        </c15:fullRef>
                        <c15:formulaRef>
                          <c15:sqref>'FUNCION MAT_EST (4)'!$A$5:$A$16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'FUNCION MAT_EST (4)'!$F$5:$F$17</c15:sqref>
                        </c15:fullRef>
                        <c15:formulaRef>
                          <c15:sqref>'FUNCION MAT_EST (4)'!$F$5:$F$16</c15:sqref>
                        </c15:formulaRef>
                      </c:ext>
                    </c:extLst>
                    <c:numCache>
                      <c:formatCode>_-* #,##0\ _€_-;\-* #,##0\ _€_-;_-* "-"??\ _€_-;_-@_-</c:formatCode>
                      <c:ptCount val="12"/>
                      <c:pt idx="0">
                        <c:v>7437</c:v>
                      </c:pt>
                      <c:pt idx="1">
                        <c:v>24793</c:v>
                      </c:pt>
                      <c:pt idx="2">
                        <c:v>2158</c:v>
                      </c:pt>
                      <c:pt idx="3">
                        <c:v>35965</c:v>
                      </c:pt>
                      <c:pt idx="4">
                        <c:v>98296</c:v>
                      </c:pt>
                      <c:pt idx="5">
                        <c:v>50896</c:v>
                      </c:pt>
                      <c:pt idx="6">
                        <c:v>73531</c:v>
                      </c:pt>
                      <c:pt idx="7">
                        <c:v>46078</c:v>
                      </c:pt>
                      <c:pt idx="8">
                        <c:v>1309</c:v>
                      </c:pt>
                      <c:pt idx="9">
                        <c:v>40786</c:v>
                      </c:pt>
                      <c:pt idx="10">
                        <c:v>68506</c:v>
                      </c:pt>
                      <c:pt idx="11">
                        <c:v>14073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FD0-4FE3-BE30-85B98A69107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'FUNCION MAT_EST (4)'!$G$4</c:f>
              <c:strCache>
                <c:ptCount val="1"/>
                <c:pt idx="0">
                  <c:v>Totales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'FUNCION MAT_EST (4)'!$A$5:$A$17</c15:sqref>
                  </c15:fullRef>
                </c:ext>
              </c:extLst>
              <c:f>'FUNCION MAT_EST (4)'!$A$5:$A$16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'FUNCION MAT_EST (4)'!$G$5:$G$17</c15:sqref>
                  </c15:fullRef>
                </c:ext>
              </c:extLst>
              <c:f>'FUNCION MAT_EST (4)'!$G$5:$G$16</c:f>
              <c:numCache>
                <c:formatCode>_-* #,##0\ _€_-;\-* #,##0\ _€_-;_-* "-"??\ _€_-;_-@_-</c:formatCode>
                <c:ptCount val="12"/>
                <c:pt idx="0">
                  <c:v>193888</c:v>
                </c:pt>
                <c:pt idx="1">
                  <c:v>255133</c:v>
                </c:pt>
                <c:pt idx="2">
                  <c:v>293042</c:v>
                </c:pt>
                <c:pt idx="3">
                  <c:v>326452</c:v>
                </c:pt>
                <c:pt idx="4">
                  <c:v>366946</c:v>
                </c:pt>
                <c:pt idx="5">
                  <c:v>271387</c:v>
                </c:pt>
                <c:pt idx="6">
                  <c:v>361096</c:v>
                </c:pt>
                <c:pt idx="7">
                  <c:v>228221</c:v>
                </c:pt>
                <c:pt idx="8">
                  <c:v>147312</c:v>
                </c:pt>
                <c:pt idx="9">
                  <c:v>253276</c:v>
                </c:pt>
                <c:pt idx="10">
                  <c:v>170863</c:v>
                </c:pt>
                <c:pt idx="11">
                  <c:v>198632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D0-4FE3-BE30-85B98A691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005328"/>
        <c:axId val="1830008208"/>
      </c:lineChart>
      <c:catAx>
        <c:axId val="183000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30008208"/>
        <c:crosses val="autoZero"/>
        <c:auto val="1"/>
        <c:lblAlgn val="ctr"/>
        <c:lblOffset val="100"/>
        <c:noMultiLvlLbl val="0"/>
      </c:catAx>
      <c:valAx>
        <c:axId val="18300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300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COMPORTAMIENTO</a:t>
            </a:r>
            <a:r>
              <a:rPr lang="es-419" baseline="0"/>
              <a:t> DE VENTAS POR GRANOS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'FUNCION MAT_EST (4)'!$B$4</c:f>
              <c:strCache>
                <c:ptCount val="1"/>
                <c:pt idx="0">
                  <c:v>Arroz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'FUNCION MAT_EST (4)'!$A$5:$A$17</c15:sqref>
                  </c15:fullRef>
                </c:ext>
              </c:extLst>
              <c:f>'FUNCION MAT_EST (4)'!$A$17</c:f>
              <c:strCache>
                <c:ptCount val="1"/>
                <c:pt idx="0">
                  <c:v>Venta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'FUNCION MAT_EST (4)'!$B$5:$B$17</c15:sqref>
                  </c15:fullRef>
                </c:ext>
              </c:extLst>
              <c:f>'FUNCION MAT_EST (4)'!$B$17</c:f>
              <c:numCache>
                <c:formatCode>_-* #,##0\ _€_-;\-* #,##0\ _€_-;_-* "-"??\ _€_-;_-@_-</c:formatCode>
                <c:ptCount val="1"/>
                <c:pt idx="0">
                  <c:v>432184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429F-BAEE-A29E7CBD953B}"/>
            </c:ext>
          </c:extLst>
        </c:ser>
        <c:ser>
          <c:idx val="1"/>
          <c:order val="1"/>
          <c:tx>
            <c:strRef>
              <c:f>'FUNCION MAT_EST (4)'!$C$4</c:f>
              <c:strCache>
                <c:ptCount val="1"/>
                <c:pt idx="0">
                  <c:v>Frijoles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'FUNCION MAT_EST (4)'!$A$5:$A$17</c15:sqref>
                  </c15:fullRef>
                </c:ext>
              </c:extLst>
              <c:f>'FUNCION MAT_EST (4)'!$A$17</c:f>
              <c:strCache>
                <c:ptCount val="1"/>
                <c:pt idx="0">
                  <c:v>Venta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'FUNCION MAT_EST (4)'!$C$5:$C$17</c15:sqref>
                  </c15:fullRef>
                </c:ext>
              </c:extLst>
              <c:f>'FUNCION MAT_EST (4)'!$C$17</c:f>
              <c:numCache>
                <c:formatCode>_-* #,##0\ _€_-;\-* #,##0\ _€_-;_-* "-"??\ _€_-;_-@_-</c:formatCode>
                <c:ptCount val="1"/>
                <c:pt idx="0">
                  <c:v>985988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29F-BAEE-A29E7CBD953B}"/>
            </c:ext>
          </c:extLst>
        </c:ser>
        <c:ser>
          <c:idx val="2"/>
          <c:order val="2"/>
          <c:tx>
            <c:strRef>
              <c:f>'FUNCION MAT_EST (4)'!$D$4</c:f>
              <c:strCache>
                <c:ptCount val="1"/>
                <c:pt idx="0">
                  <c:v>Azucar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'FUNCION MAT_EST (4)'!$A$5:$A$17</c15:sqref>
                  </c15:fullRef>
                </c:ext>
              </c:extLst>
              <c:f>'FUNCION MAT_EST (4)'!$A$17</c:f>
              <c:strCache>
                <c:ptCount val="1"/>
                <c:pt idx="0">
                  <c:v>Venta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'FUNCION MAT_EST (4)'!$D$5:$D$17</c15:sqref>
                  </c15:fullRef>
                </c:ext>
              </c:extLst>
              <c:f>'FUNCION MAT_EST (4)'!$D$17</c:f>
              <c:numCache>
                <c:formatCode>_-* #,##0\ _€_-;\-* #,##0\ _€_-;_-* "-"??\ _€_-;_-@_-</c:formatCode>
                <c:ptCount val="1"/>
                <c:pt idx="0">
                  <c:v>564473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29F-BAEE-A29E7CBD953B}"/>
            </c:ext>
          </c:extLst>
        </c:ser>
        <c:ser>
          <c:idx val="3"/>
          <c:order val="3"/>
          <c:tx>
            <c:strRef>
              <c:f>'FUNCION MAT_EST (4)'!$E$4</c:f>
              <c:strCache>
                <c:ptCount val="1"/>
                <c:pt idx="0">
                  <c:v>Maiz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'FUNCION MAT_EST (4)'!$A$5:$A$17</c15:sqref>
                  </c15:fullRef>
                </c:ext>
              </c:extLst>
              <c:f>'FUNCION MAT_EST (4)'!$A$17</c:f>
              <c:strCache>
                <c:ptCount val="1"/>
                <c:pt idx="0">
                  <c:v>Venta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'FUNCION MAT_EST (4)'!$E$5:$E$17</c15:sqref>
                  </c15:fullRef>
                </c:ext>
              </c:extLst>
              <c:f>'FUNCION MAT_EST (4)'!$E$17</c:f>
              <c:numCache>
                <c:formatCode>_-* #,##0\ _€_-;\-* #,##0\ _€_-;_-* "-"??\ _€_-;_-@_-</c:formatCode>
                <c:ptCount val="1"/>
                <c:pt idx="0">
                  <c:v>619775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7D-429F-BAEE-A29E7CBD953B}"/>
            </c:ext>
          </c:extLst>
        </c:ser>
        <c:ser>
          <c:idx val="4"/>
          <c:order val="4"/>
          <c:tx>
            <c:strRef>
              <c:f>'FUNCION MAT_EST (4)'!$F$4</c:f>
              <c:strCache>
                <c:ptCount val="1"/>
                <c:pt idx="0">
                  <c:v>Soya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'FUNCION MAT_EST (4)'!$A$5:$A$17</c15:sqref>
                  </c15:fullRef>
                </c:ext>
              </c:extLst>
              <c:f>'FUNCION MAT_EST (4)'!$A$17</c:f>
              <c:strCache>
                <c:ptCount val="1"/>
                <c:pt idx="0">
                  <c:v>Venta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'FUNCION MAT_EST (4)'!$F$5:$F$17</c15:sqref>
                  </c15:fullRef>
                </c:ext>
              </c:extLst>
              <c:f>'FUNCION MAT_EST (4)'!$F$17</c:f>
              <c:numCache>
                <c:formatCode>_-* #,##0\ _€_-;\-* #,##0\ _€_-;_-* "-"??\ _€_-;_-@_-</c:formatCode>
                <c:ptCount val="1"/>
                <c:pt idx="0">
                  <c:v>463828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7D-429F-BAEE-A29E7CBD9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166144"/>
        <c:axId val="630167584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166144"/>
        <c:axId val="630167584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'FUNCION MAT_EST (4)'!$G$4</c15:sqref>
                        </c15:formulaRef>
                      </c:ext>
                    </c:extLst>
                    <c:strCache>
                      <c:ptCount val="1"/>
                      <c:pt idx="0">
                        <c:v>Totales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'FUNCION MAT_EST (4)'!$A$5:$A$17</c15:sqref>
                        </c15:fullRef>
                        <c15:formulaRef>
                          <c15:sqref>'FUNCION MAT_EST (4)'!$A$17</c15:sqref>
                        </c15:formulaRef>
                      </c:ext>
                    </c:extLst>
                    <c:strCache>
                      <c:ptCount val="1"/>
                      <c:pt idx="0">
                        <c:v>Venta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'FUNCION MAT_EST (4)'!$G$5:$G$17</c15:sqref>
                        </c15:fullRef>
                        <c15:formulaRef>
                          <c15:sqref>'FUNCION MAT_EST (4)'!$G$17</c15:sqref>
                        </c15:formulaRef>
                      </c:ext>
                    </c:extLst>
                    <c:numCache>
                      <c:formatCode>_-* #,##0\ _€_-;\-* #,##0\ _€_-;_-* "-"??\ _€_-;_-@_-</c:formatCode>
                      <c:ptCount val="1"/>
                      <c:pt idx="0" formatCode="_-* #,##0.00\ _€_-;\-* #,##0.00\ _€_-;_-* &quot;-&quot;??\ _€_-;_-@_-">
                        <c:v>3066248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97D-429F-BAEE-A29E7CBD953B}"/>
                  </c:ext>
                </c:extLst>
              </c15:ser>
            </c15:filteredLineSeries>
          </c:ext>
        </c:extLst>
      </c:lineChart>
      <c:catAx>
        <c:axId val="6301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167584"/>
        <c:crosses val="autoZero"/>
        <c:auto val="1"/>
        <c:lblAlgn val="ctr"/>
        <c:lblOffset val="100"/>
        <c:noMultiLvlLbl val="0"/>
      </c:catAx>
      <c:valAx>
        <c:axId val="6301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016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RACTICA FUNCION LOGICA'!A1"/><Relationship Id="rId3" Type="http://schemas.openxmlformats.org/officeDocument/2006/relationships/hyperlink" Target="#'FUNCION MATEMATICA'!A1"/><Relationship Id="rId7" Type="http://schemas.openxmlformats.org/officeDocument/2006/relationships/hyperlink" Target="#'FUNCION LOGICA'!A1"/><Relationship Id="rId2" Type="http://schemas.openxmlformats.org/officeDocument/2006/relationships/hyperlink" Target="#'FUNCION ESTADISTICA'!A1"/><Relationship Id="rId1" Type="http://schemas.openxmlformats.org/officeDocument/2006/relationships/hyperlink" Target="#'ERROR EN LOS DATOS'!A1"/><Relationship Id="rId6" Type="http://schemas.openxmlformats.org/officeDocument/2006/relationships/hyperlink" Target="#'FUNCION TEXTO'!A1"/><Relationship Id="rId5" Type="http://schemas.openxmlformats.org/officeDocument/2006/relationships/hyperlink" Target="#'CALCULO HORAS TRAB'!A1"/><Relationship Id="rId4" Type="http://schemas.openxmlformats.org/officeDocument/2006/relationships/hyperlink" Target="#'FUNCION FECHA DIAS1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hyperlink" Target="#MENU!A1"/><Relationship Id="rId4" Type="http://schemas.openxmlformats.org/officeDocument/2006/relationships/image" Target="../media/image13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43543</xdr:colOff>
      <xdr:row>0</xdr:row>
      <xdr:rowOff>0</xdr:rowOff>
    </xdr:from>
    <xdr:to>
      <xdr:col>13</xdr:col>
      <xdr:colOff>0</xdr:colOff>
      <xdr:row>46</xdr:row>
      <xdr:rowOff>78377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543" y="0"/>
          <a:ext cx="10287000" cy="8591006"/>
        </a:xfrm>
        <a:prstGeom prst="roundRect">
          <a:avLst>
            <a:gd name="adj" fmla="val 5634"/>
          </a:avLst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oneCellAnchor>
    <xdr:from>
      <xdr:col>3</xdr:col>
      <xdr:colOff>412140</xdr:colOff>
      <xdr:row>0</xdr:row>
      <xdr:rowOff>102873</xdr:rowOff>
    </xdr:from>
    <xdr:ext cx="4230453" cy="937629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796111" y="102873"/>
          <a:ext cx="4230453" cy="937629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none" lIns="91440" tIns="45720" rIns="91440" bIns="45720">
          <a:spAutoFit/>
        </a:bodyPr>
        <a:lstStyle/>
        <a:p>
          <a:pPr algn="ctr"/>
          <a:r>
            <a:rPr lang="es-MX" sz="5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FUNCIONES</a:t>
          </a:r>
          <a:r>
            <a:rPr lang="es-MX" sz="5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EI</a:t>
          </a:r>
          <a:endParaRPr lang="es-MX" sz="5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293915</xdr:colOff>
      <xdr:row>8</xdr:row>
      <xdr:rowOff>69256</xdr:rowOff>
    </xdr:from>
    <xdr:to>
      <xdr:col>5</xdr:col>
      <xdr:colOff>631372</xdr:colOff>
      <xdr:row>13</xdr:row>
      <xdr:rowOff>119741</xdr:rowOff>
    </xdr:to>
    <xdr:sp macro="" textlink="">
      <xdr:nvSpPr>
        <xdr:cNvPr id="16" name="Diagrama de flujo: preparación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88572" y="1549713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Errore</a:t>
          </a:r>
          <a:r>
            <a:rPr lang="es-419" sz="1800" b="1" baseline="0"/>
            <a:t>s comunes en funciones</a:t>
          </a:r>
          <a:endParaRPr lang="es-419" sz="1800" b="1"/>
        </a:p>
      </xdr:txBody>
    </xdr:sp>
    <xdr:clientData/>
  </xdr:twoCellAnchor>
  <xdr:twoCellAnchor>
    <xdr:from>
      <xdr:col>6</xdr:col>
      <xdr:colOff>326572</xdr:colOff>
      <xdr:row>8</xdr:row>
      <xdr:rowOff>36598</xdr:rowOff>
    </xdr:from>
    <xdr:to>
      <xdr:col>10</xdr:col>
      <xdr:colOff>664030</xdr:colOff>
      <xdr:row>13</xdr:row>
      <xdr:rowOff>87083</xdr:rowOff>
    </xdr:to>
    <xdr:sp macro="" textlink="">
      <xdr:nvSpPr>
        <xdr:cNvPr id="22" name="Diagrama de flujo: preparación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094515" y="1517055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Función</a:t>
          </a:r>
          <a:r>
            <a:rPr lang="es-419" sz="1800" b="1" baseline="0"/>
            <a:t> estadisticas</a:t>
          </a:r>
          <a:endParaRPr lang="es-419" sz="1800" b="1"/>
        </a:p>
      </xdr:txBody>
    </xdr:sp>
    <xdr:clientData/>
  </xdr:twoCellAnchor>
  <xdr:twoCellAnchor>
    <xdr:from>
      <xdr:col>1</xdr:col>
      <xdr:colOff>468087</xdr:colOff>
      <xdr:row>34</xdr:row>
      <xdr:rowOff>80140</xdr:rowOff>
    </xdr:from>
    <xdr:to>
      <xdr:col>6</xdr:col>
      <xdr:colOff>10887</xdr:colOff>
      <xdr:row>39</xdr:row>
      <xdr:rowOff>130625</xdr:rowOff>
    </xdr:to>
    <xdr:sp macro="" textlink="">
      <xdr:nvSpPr>
        <xdr:cNvPr id="23" name="Diagrama de flujo: preparación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262744" y="6372083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Función</a:t>
          </a:r>
          <a:r>
            <a:rPr lang="es-419" sz="1800" b="1" baseline="0"/>
            <a:t> Matematica</a:t>
          </a:r>
          <a:endParaRPr lang="es-419" sz="1800" b="1"/>
        </a:p>
      </xdr:txBody>
    </xdr:sp>
    <xdr:clientData/>
  </xdr:twoCellAnchor>
  <xdr:twoCellAnchor>
    <xdr:from>
      <xdr:col>1</xdr:col>
      <xdr:colOff>435430</xdr:colOff>
      <xdr:row>25</xdr:row>
      <xdr:rowOff>47484</xdr:rowOff>
    </xdr:from>
    <xdr:to>
      <xdr:col>5</xdr:col>
      <xdr:colOff>772887</xdr:colOff>
      <xdr:row>30</xdr:row>
      <xdr:rowOff>97970</xdr:rowOff>
    </xdr:to>
    <xdr:sp macro="" textlink="">
      <xdr:nvSpPr>
        <xdr:cNvPr id="24" name="Diagrama de flujo: preparación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30087" y="4673913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Funciones</a:t>
          </a:r>
          <a:r>
            <a:rPr lang="es-419" sz="1800" b="1" baseline="0"/>
            <a:t> fecha</a:t>
          </a:r>
        </a:p>
      </xdr:txBody>
    </xdr:sp>
    <xdr:clientData/>
  </xdr:twoCellAnchor>
  <xdr:twoCellAnchor>
    <xdr:from>
      <xdr:col>1</xdr:col>
      <xdr:colOff>424543</xdr:colOff>
      <xdr:row>16</xdr:row>
      <xdr:rowOff>134570</xdr:rowOff>
    </xdr:from>
    <xdr:to>
      <xdr:col>5</xdr:col>
      <xdr:colOff>762000</xdr:colOff>
      <xdr:row>21</xdr:row>
      <xdr:rowOff>185055</xdr:rowOff>
    </xdr:to>
    <xdr:sp macro="" textlink="">
      <xdr:nvSpPr>
        <xdr:cNvPr id="25" name="Diagrama de flujo: preparación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19200" y="3095484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calculo de horas</a:t>
          </a:r>
        </a:p>
      </xdr:txBody>
    </xdr:sp>
    <xdr:clientData/>
  </xdr:twoCellAnchor>
  <xdr:twoCellAnchor>
    <xdr:from>
      <xdr:col>6</xdr:col>
      <xdr:colOff>424544</xdr:colOff>
      <xdr:row>16</xdr:row>
      <xdr:rowOff>134569</xdr:rowOff>
    </xdr:from>
    <xdr:to>
      <xdr:col>10</xdr:col>
      <xdr:colOff>762002</xdr:colOff>
      <xdr:row>21</xdr:row>
      <xdr:rowOff>185054</xdr:rowOff>
    </xdr:to>
    <xdr:sp macro="" textlink="">
      <xdr:nvSpPr>
        <xdr:cNvPr id="26" name="Diagrama de flujo: preparación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2487" y="3095483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Función texto</a:t>
          </a:r>
        </a:p>
      </xdr:txBody>
    </xdr:sp>
    <xdr:clientData/>
  </xdr:twoCellAnchor>
  <xdr:twoCellAnchor>
    <xdr:from>
      <xdr:col>6</xdr:col>
      <xdr:colOff>511629</xdr:colOff>
      <xdr:row>24</xdr:row>
      <xdr:rowOff>145456</xdr:rowOff>
    </xdr:from>
    <xdr:to>
      <xdr:col>11</xdr:col>
      <xdr:colOff>54429</xdr:colOff>
      <xdr:row>30</xdr:row>
      <xdr:rowOff>10884</xdr:rowOff>
    </xdr:to>
    <xdr:sp macro="" textlink="">
      <xdr:nvSpPr>
        <xdr:cNvPr id="27" name="Diagrama de flujo: preparación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279572" y="4586827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Función</a:t>
          </a:r>
          <a:r>
            <a:rPr lang="es-419" sz="1800" b="1" baseline="0"/>
            <a:t> Lógica</a:t>
          </a:r>
          <a:endParaRPr lang="es-419" sz="1800" b="1"/>
        </a:p>
      </xdr:txBody>
    </xdr:sp>
    <xdr:clientData/>
  </xdr:twoCellAnchor>
  <xdr:twoCellAnchor>
    <xdr:from>
      <xdr:col>6</xdr:col>
      <xdr:colOff>598716</xdr:colOff>
      <xdr:row>34</xdr:row>
      <xdr:rowOff>25712</xdr:rowOff>
    </xdr:from>
    <xdr:to>
      <xdr:col>11</xdr:col>
      <xdr:colOff>141516</xdr:colOff>
      <xdr:row>39</xdr:row>
      <xdr:rowOff>76197</xdr:rowOff>
    </xdr:to>
    <xdr:sp macro="" textlink="">
      <xdr:nvSpPr>
        <xdr:cNvPr id="28" name="Diagrama de flujo: preparación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366659" y="6317655"/>
          <a:ext cx="3516086" cy="975771"/>
        </a:xfrm>
        <a:prstGeom prst="flowChartPreparatio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Práctica función</a:t>
          </a:r>
          <a:r>
            <a:rPr lang="es-419" sz="1800" b="1" baseline="0"/>
            <a:t> lógica</a:t>
          </a:r>
          <a:endParaRPr lang="es-419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433754</xdr:colOff>
      <xdr:row>11</xdr:row>
      <xdr:rowOff>5862</xdr:rowOff>
    </xdr:from>
    <xdr:to>
      <xdr:col>14</xdr:col>
      <xdr:colOff>375139</xdr:colOff>
      <xdr:row>15</xdr:row>
      <xdr:rowOff>140677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033846" y="2033954"/>
          <a:ext cx="1260231" cy="86164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</xdr:row>
      <xdr:rowOff>95250</xdr:rowOff>
    </xdr:from>
    <xdr:to>
      <xdr:col>13</xdr:col>
      <xdr:colOff>409575</xdr:colOff>
      <xdr:row>12</xdr:row>
      <xdr:rowOff>57150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6675" y="1200150"/>
          <a:ext cx="7475220" cy="1798320"/>
          <a:chOff x="3838575" y="4010025"/>
          <a:chExt cx="8077200" cy="1819275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3838575" y="4010025"/>
            <a:ext cx="8077200" cy="18192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NI" sz="1100"/>
          </a:p>
        </xdr:txBody>
      </xdr: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943350" y="4076700"/>
            <a:ext cx="7895238" cy="857143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943350" y="5000625"/>
            <a:ext cx="7886700" cy="780952"/>
          </a:xfrm>
          <a:prstGeom prst="rect">
            <a:avLst/>
          </a:prstGeom>
        </xdr:spPr>
      </xdr:pic>
    </xdr:grpSp>
    <xdr:clientData/>
  </xdr:twoCellAnchor>
  <xdr:oneCellAnchor>
    <xdr:from>
      <xdr:col>3</xdr:col>
      <xdr:colOff>57150</xdr:colOff>
      <xdr:row>14</xdr:row>
      <xdr:rowOff>85725</xdr:rowOff>
    </xdr:from>
    <xdr:ext cx="3790950" cy="3284765"/>
    <xdr:pic>
      <xdr:nvPicPr>
        <xdr:cNvPr id="6" name="Imagen 5" descr="Funciones de Excel | Not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2752725"/>
          <a:ext cx="3790950" cy="328476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314325</xdr:colOff>
      <xdr:row>1</xdr:row>
      <xdr:rowOff>104775</xdr:rowOff>
    </xdr:from>
    <xdr:ext cx="4712700" cy="2054679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68325" y="295275"/>
          <a:ext cx="4712700" cy="2054679"/>
        </a:xfrm>
        <a:prstGeom prst="rect">
          <a:avLst/>
        </a:prstGeom>
      </xdr:spPr>
    </xdr:pic>
    <xdr:clientData/>
  </xdr:oneCellAnchor>
  <xdr:oneCellAnchor>
    <xdr:from>
      <xdr:col>14</xdr:col>
      <xdr:colOff>219076</xdr:colOff>
      <xdr:row>13</xdr:row>
      <xdr:rowOff>95250</xdr:rowOff>
    </xdr:from>
    <xdr:ext cx="7362820" cy="2129517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7076" y="2571750"/>
          <a:ext cx="7362820" cy="2129517"/>
        </a:xfrm>
        <a:prstGeom prst="rect">
          <a:avLst/>
        </a:prstGeom>
      </xdr:spPr>
    </xdr:pic>
    <xdr:clientData/>
  </xdr:oneCellAnchor>
  <xdr:oneCellAnchor>
    <xdr:from>
      <xdr:col>14</xdr:col>
      <xdr:colOff>152400</xdr:colOff>
      <xdr:row>22</xdr:row>
      <xdr:rowOff>200026</xdr:rowOff>
    </xdr:from>
    <xdr:ext cx="2964996" cy="144736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20400" y="4381501"/>
          <a:ext cx="2964996" cy="1447365"/>
        </a:xfrm>
        <a:prstGeom prst="rect">
          <a:avLst/>
        </a:prstGeom>
      </xdr:spPr>
    </xdr:pic>
    <xdr:clientData/>
  </xdr:oneCellAnchor>
  <xdr:oneCellAnchor>
    <xdr:from>
      <xdr:col>24</xdr:col>
      <xdr:colOff>76200</xdr:colOff>
      <xdr:row>23</xdr:row>
      <xdr:rowOff>133349</xdr:rowOff>
    </xdr:from>
    <xdr:ext cx="2446563" cy="1135023"/>
    <xdr:pic>
      <xdr:nvPicPr>
        <xdr:cNvPr id="10" name="Imagen 9" descr="Cómo asignar nombre a celdas o rangos - Excel-2win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323" t="17557"/>
        <a:stretch/>
      </xdr:blipFill>
      <xdr:spPr bwMode="auto">
        <a:xfrm>
          <a:off x="18364200" y="4514849"/>
          <a:ext cx="2446563" cy="113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9526</xdr:rowOff>
    </xdr:from>
    <xdr:to>
      <xdr:col>4</xdr:col>
      <xdr:colOff>742950</xdr:colOff>
      <xdr:row>11</xdr:row>
      <xdr:rowOff>23474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6"/>
          <a:ext cx="3790950" cy="2318998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63501</xdr:rowOff>
    </xdr:from>
    <xdr:to>
      <xdr:col>12</xdr:col>
      <xdr:colOff>415297</xdr:colOff>
      <xdr:row>44</xdr:row>
      <xdr:rowOff>91644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72"/>
        <a:stretch/>
      </xdr:blipFill>
      <xdr:spPr>
        <a:xfrm>
          <a:off x="0" y="5016501"/>
          <a:ext cx="12759697" cy="3457143"/>
        </a:xfrm>
        <a:prstGeom prst="rect">
          <a:avLst/>
        </a:prstGeom>
      </xdr:spPr>
    </xdr:pic>
    <xdr:clientData/>
  </xdr:twoCellAnchor>
  <xdr:twoCellAnchor>
    <xdr:from>
      <xdr:col>8</xdr:col>
      <xdr:colOff>929640</xdr:colOff>
      <xdr:row>19</xdr:row>
      <xdr:rowOff>60960</xdr:rowOff>
    </xdr:from>
    <xdr:to>
      <xdr:col>9</xdr:col>
      <xdr:colOff>967740</xdr:colOff>
      <xdr:row>23</xdr:row>
      <xdr:rowOff>160020</xdr:rowOff>
    </xdr:to>
    <xdr:sp macro="" textlink="">
      <xdr:nvSpPr>
        <xdr:cNvPr id="3" name="Flecha: hacia l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403080" y="3535680"/>
          <a:ext cx="1097280" cy="830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0</xdr:rowOff>
    </xdr:from>
    <xdr:to>
      <xdr:col>3</xdr:col>
      <xdr:colOff>266700</xdr:colOff>
      <xdr:row>31</xdr:row>
      <xdr:rowOff>19050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47675" y="5495925"/>
          <a:ext cx="35052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s-ES" sz="1100" b="0" i="0" strike="noStrike">
              <a:solidFill>
                <a:srgbClr val="000000"/>
              </a:solidFill>
              <a:latin typeface="Calibri"/>
            </a:rPr>
            <a:t>EDAD:=(HOY()-D4)/365</a:t>
          </a:r>
        </a:p>
      </xdr:txBody>
    </xdr:sp>
    <xdr:clientData/>
  </xdr:twoCellAnchor>
  <xdr:twoCellAnchor>
    <xdr:from>
      <xdr:col>1</xdr:col>
      <xdr:colOff>19050</xdr:colOff>
      <xdr:row>32</xdr:row>
      <xdr:rowOff>0</xdr:rowOff>
    </xdr:from>
    <xdr:to>
      <xdr:col>2</xdr:col>
      <xdr:colOff>171450</xdr:colOff>
      <xdr:row>33</xdr:row>
      <xdr:rowOff>28575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47675" y="5781675"/>
          <a:ext cx="240982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s-ES" sz="1100" b="0" i="0" strike="noStrike">
              <a:solidFill>
                <a:srgbClr val="000000"/>
              </a:solidFill>
              <a:latin typeface="Calibri"/>
            </a:rPr>
            <a:t>FECHA DE JUBILACION:=D4+65*365</a:t>
          </a:r>
        </a:p>
      </xdr:txBody>
    </xdr:sp>
    <xdr:clientData/>
  </xdr:twoCellAnchor>
  <xdr:twoCellAnchor>
    <xdr:from>
      <xdr:col>1</xdr:col>
      <xdr:colOff>9525</xdr:colOff>
      <xdr:row>34</xdr:row>
      <xdr:rowOff>0</xdr:rowOff>
    </xdr:from>
    <xdr:to>
      <xdr:col>1</xdr:col>
      <xdr:colOff>1724025</xdr:colOff>
      <xdr:row>35</xdr:row>
      <xdr:rowOff>19050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38150" y="6067425"/>
          <a:ext cx="1714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s-ES" sz="1100" b="0" i="0" strike="noStrike">
              <a:solidFill>
                <a:srgbClr val="000000"/>
              </a:solidFill>
              <a:latin typeface="Calibri"/>
            </a:rPr>
            <a:t>AÑO QUE FALTAN:=65-F4</a:t>
          </a:r>
        </a:p>
      </xdr:txBody>
    </xdr:sp>
    <xdr:clientData/>
  </xdr:twoCellAnchor>
  <xdr:twoCellAnchor>
    <xdr:from>
      <xdr:col>1</xdr:col>
      <xdr:colOff>28575</xdr:colOff>
      <xdr:row>36</xdr:row>
      <xdr:rowOff>0</xdr:rowOff>
    </xdr:from>
    <xdr:to>
      <xdr:col>4</xdr:col>
      <xdr:colOff>9525</xdr:colOff>
      <xdr:row>37</xdr:row>
      <xdr:rowOff>19050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57200" y="6362700"/>
          <a:ext cx="40195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s-ES" sz="1100" b="0" i="0" strike="noStrike">
              <a:solidFill>
                <a:srgbClr val="000000"/>
              </a:solidFill>
              <a:latin typeface="Calibri"/>
            </a:rPr>
            <a:t>AÑOS LABORABLES:=(HOY()-E4)/365</a:t>
          </a:r>
        </a:p>
      </xdr:txBody>
    </xdr:sp>
    <xdr:clientData/>
  </xdr:twoCellAnchor>
  <xdr:twoCellAnchor>
    <xdr:from>
      <xdr:col>1</xdr:col>
      <xdr:colOff>1609725</xdr:colOff>
      <xdr:row>30</xdr:row>
      <xdr:rowOff>104775</xdr:rowOff>
    </xdr:from>
    <xdr:to>
      <xdr:col>3</xdr:col>
      <xdr:colOff>733425</xdr:colOff>
      <xdr:row>30</xdr:row>
      <xdr:rowOff>104775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2038350" y="5953125"/>
          <a:ext cx="23812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161925</xdr:rowOff>
    </xdr:from>
    <xdr:to>
      <xdr:col>5</xdr:col>
      <xdr:colOff>1247612</xdr:colOff>
      <xdr:row>49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3600"/>
          <a:ext cx="6034877" cy="82677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0</xdr:row>
      <xdr:rowOff>51841</xdr:rowOff>
    </xdr:from>
    <xdr:to>
      <xdr:col>17</xdr:col>
      <xdr:colOff>674371</xdr:colOff>
      <xdr:row>3</xdr:row>
      <xdr:rowOff>217051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8270" y="51841"/>
          <a:ext cx="3360421" cy="75957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93</xdr:row>
      <xdr:rowOff>76200</xdr:rowOff>
    </xdr:from>
    <xdr:to>
      <xdr:col>5</xdr:col>
      <xdr:colOff>691515</xdr:colOff>
      <xdr:row>96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107150"/>
          <a:ext cx="5143500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123824</xdr:colOff>
      <xdr:row>15</xdr:row>
      <xdr:rowOff>167032</xdr:rowOff>
    </xdr:from>
    <xdr:to>
      <xdr:col>16</xdr:col>
      <xdr:colOff>277975</xdr:colOff>
      <xdr:row>27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299" y="3510307"/>
          <a:ext cx="4307051" cy="2395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7</xdr:row>
      <xdr:rowOff>0</xdr:rowOff>
    </xdr:from>
    <xdr:to>
      <xdr:col>17</xdr:col>
      <xdr:colOff>312420</xdr:colOff>
      <xdr:row>10</xdr:row>
      <xdr:rowOff>167640</xdr:rowOff>
    </xdr:to>
    <xdr:sp macro="" textlink="">
      <xdr:nvSpPr>
        <xdr:cNvPr id="8" name="Flecha: hacia la izquierda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1018520" y="1478280"/>
          <a:ext cx="1097280" cy="830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74</xdr:row>
      <xdr:rowOff>114300</xdr:rowOff>
    </xdr:from>
    <xdr:to>
      <xdr:col>5</xdr:col>
      <xdr:colOff>28575</xdr:colOff>
      <xdr:row>85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4239875"/>
          <a:ext cx="34575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171450</xdr:colOff>
      <xdr:row>0</xdr:row>
      <xdr:rowOff>0</xdr:rowOff>
    </xdr:from>
    <xdr:to>
      <xdr:col>19</xdr:col>
      <xdr:colOff>2209352</xdr:colOff>
      <xdr:row>21</xdr:row>
      <xdr:rowOff>75687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9231630" y="0"/>
          <a:ext cx="3630482" cy="3939027"/>
          <a:chOff x="8953500" y="0"/>
          <a:chExt cx="3580952" cy="4104762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53500" y="0"/>
            <a:ext cx="3580952" cy="4104762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76605" t="71470" b="24817"/>
          <a:stretch/>
        </xdr:blipFill>
        <xdr:spPr>
          <a:xfrm>
            <a:off x="11696700" y="3514725"/>
            <a:ext cx="837752" cy="15240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399507</xdr:colOff>
      <xdr:row>23</xdr:row>
      <xdr:rowOff>119251</xdr:rowOff>
    </xdr:from>
    <xdr:ext cx="5220788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99507" y="4346694"/>
          <a:ext cx="5220788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ANALISIS RAPIDO</a:t>
          </a:r>
        </a:p>
      </xdr:txBody>
    </xdr:sp>
    <xdr:clientData/>
  </xdr:oneCellAnchor>
  <xdr:oneCellAnchor>
    <xdr:from>
      <xdr:col>6</xdr:col>
      <xdr:colOff>162262</xdr:colOff>
      <xdr:row>23</xdr:row>
      <xdr:rowOff>119251</xdr:rowOff>
    </xdr:from>
    <xdr:ext cx="3170740" cy="93762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5701671" y="4346694"/>
          <a:ext cx="317074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CALCULOS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424070</xdr:colOff>
      <xdr:row>22</xdr:row>
      <xdr:rowOff>175591</xdr:rowOff>
    </xdr:from>
    <xdr:ext cx="5220788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24070" y="4217504"/>
          <a:ext cx="5220788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ANALISIS RAPIDO</a:t>
          </a:r>
        </a:p>
      </xdr:txBody>
    </xdr:sp>
    <xdr:clientData/>
  </xdr:oneCellAnchor>
  <xdr:oneCellAnchor>
    <xdr:from>
      <xdr:col>0</xdr:col>
      <xdr:colOff>379514</xdr:colOff>
      <xdr:row>26</xdr:row>
      <xdr:rowOff>119269</xdr:rowOff>
    </xdr:from>
    <xdr:ext cx="7453451" cy="93762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79514" y="4903304"/>
          <a:ext cx="745345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FORMATO</a:t>
          </a:r>
          <a:r>
            <a:rPr lang="es-E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CONDICIONAL</a:t>
          </a:r>
          <a:endParaRPr lang="es-E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3313</xdr:rowOff>
    </xdr:from>
    <xdr:ext cx="5220788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0" y="4601817"/>
          <a:ext cx="5220788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ANALISIS RAPIDO</a:t>
          </a:r>
        </a:p>
      </xdr:txBody>
    </xdr:sp>
    <xdr:clientData/>
  </xdr:oneCellAnchor>
  <xdr:oneCellAnchor>
    <xdr:from>
      <xdr:col>0</xdr:col>
      <xdr:colOff>24736</xdr:colOff>
      <xdr:row>28</xdr:row>
      <xdr:rowOff>120926</xdr:rowOff>
    </xdr:from>
    <xdr:ext cx="3100016" cy="93762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24736" y="5218706"/>
          <a:ext cx="310001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GRAFICOS</a:t>
          </a:r>
        </a:p>
      </xdr:txBody>
    </xdr:sp>
    <xdr:clientData/>
  </xdr:oneCellAnchor>
  <xdr:twoCellAnchor>
    <xdr:from>
      <xdr:col>8</xdr:col>
      <xdr:colOff>272995</xdr:colOff>
      <xdr:row>2</xdr:row>
      <xdr:rowOff>71892</xdr:rowOff>
    </xdr:from>
    <xdr:to>
      <xdr:col>13</xdr:col>
      <xdr:colOff>640411</xdr:colOff>
      <xdr:row>17</xdr:row>
      <xdr:rowOff>42406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17</xdr:row>
      <xdr:rowOff>41910</xdr:rowOff>
    </xdr:from>
    <xdr:to>
      <xdr:col>13</xdr:col>
      <xdr:colOff>655320</xdr:colOff>
      <xdr:row>32</xdr:row>
      <xdr:rowOff>41910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139148</xdr:colOff>
      <xdr:row>4</xdr:row>
      <xdr:rowOff>39756</xdr:rowOff>
    </xdr:from>
    <xdr:to>
      <xdr:col>15</xdr:col>
      <xdr:colOff>454550</xdr:colOff>
      <xdr:row>9</xdr:row>
      <xdr:rowOff>42075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0197548" y="742121"/>
          <a:ext cx="1097280" cy="830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220980</xdr:colOff>
      <xdr:row>0</xdr:row>
      <xdr:rowOff>160020</xdr:rowOff>
    </xdr:from>
    <xdr:to>
      <xdr:col>14</xdr:col>
      <xdr:colOff>533400</xdr:colOff>
      <xdr:row>5</xdr:row>
      <xdr:rowOff>114300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0119360" y="160020"/>
          <a:ext cx="1097280" cy="830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0</xdr:row>
      <xdr:rowOff>95250</xdr:rowOff>
    </xdr:from>
    <xdr:to>
      <xdr:col>1</xdr:col>
      <xdr:colOff>0</xdr:colOff>
      <xdr:row>0</xdr:row>
      <xdr:rowOff>104775</xdr:rowOff>
    </xdr:to>
    <xdr:cxnSp macro="">
      <xdr:nvCxnSpPr>
        <xdr:cNvPr id="2" name="48 Conector recto de flecha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 flipH="1">
          <a:off x="914400" y="95250"/>
          <a:ext cx="12763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847726</xdr:colOff>
      <xdr:row>1</xdr:row>
      <xdr:rowOff>95250</xdr:rowOff>
    </xdr:from>
    <xdr:to>
      <xdr:col>0</xdr:col>
      <xdr:colOff>2171700</xdr:colOff>
      <xdr:row>1</xdr:row>
      <xdr:rowOff>95250</xdr:rowOff>
    </xdr:to>
    <xdr:cxnSp macro="">
      <xdr:nvCxnSpPr>
        <xdr:cNvPr id="3" name="51 Conector recto de flecha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 flipH="1">
          <a:off x="847726" y="295275"/>
          <a:ext cx="1323974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1200152</xdr:colOff>
      <xdr:row>2</xdr:row>
      <xdr:rowOff>95252</xdr:rowOff>
    </xdr:from>
    <xdr:to>
      <xdr:col>1</xdr:col>
      <xdr:colOff>0</xdr:colOff>
      <xdr:row>2</xdr:row>
      <xdr:rowOff>114300</xdr:rowOff>
    </xdr:to>
    <xdr:cxnSp macro="">
      <xdr:nvCxnSpPr>
        <xdr:cNvPr id="4" name="53 Conector recto de flecha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 flipH="1" flipV="1">
          <a:off x="1200152" y="495302"/>
          <a:ext cx="990598" cy="1904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1209677</xdr:colOff>
      <xdr:row>3</xdr:row>
      <xdr:rowOff>104775</xdr:rowOff>
    </xdr:from>
    <xdr:to>
      <xdr:col>1</xdr:col>
      <xdr:colOff>0</xdr:colOff>
      <xdr:row>3</xdr:row>
      <xdr:rowOff>104777</xdr:rowOff>
    </xdr:to>
    <xdr:cxnSp macro="">
      <xdr:nvCxnSpPr>
        <xdr:cNvPr id="5" name="58 Conector recto de flecha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 flipH="1">
          <a:off x="1209677" y="704850"/>
          <a:ext cx="981073" cy="2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403412</xdr:colOff>
      <xdr:row>0</xdr:row>
      <xdr:rowOff>152400</xdr:rowOff>
    </xdr:from>
    <xdr:to>
      <xdr:col>7</xdr:col>
      <xdr:colOff>577328</xdr:colOff>
      <xdr:row>5</xdr:row>
      <xdr:rowOff>14792</xdr:rowOff>
    </xdr:to>
    <xdr:sp macro="" textlink="">
      <xdr:nvSpPr>
        <xdr:cNvPr id="6" name="Flecha: hacia la izquierda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11205883" y="152400"/>
          <a:ext cx="1097280" cy="830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0</xdr:row>
      <xdr:rowOff>95250</xdr:rowOff>
    </xdr:from>
    <xdr:to>
      <xdr:col>1</xdr:col>
      <xdr:colOff>0</xdr:colOff>
      <xdr:row>0</xdr:row>
      <xdr:rowOff>104775</xdr:rowOff>
    </xdr:to>
    <xdr:cxnSp macro="">
      <xdr:nvCxnSpPr>
        <xdr:cNvPr id="2" name="48 Conector recto de flecha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 flipH="1">
          <a:off x="914400" y="95250"/>
          <a:ext cx="12763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847726</xdr:colOff>
      <xdr:row>1</xdr:row>
      <xdr:rowOff>95250</xdr:rowOff>
    </xdr:from>
    <xdr:to>
      <xdr:col>0</xdr:col>
      <xdr:colOff>2171700</xdr:colOff>
      <xdr:row>1</xdr:row>
      <xdr:rowOff>95250</xdr:rowOff>
    </xdr:to>
    <xdr:cxnSp macro="">
      <xdr:nvCxnSpPr>
        <xdr:cNvPr id="3" name="51 Conector recto de flecha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 flipH="1">
          <a:off x="847726" y="295275"/>
          <a:ext cx="1323974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1200152</xdr:colOff>
      <xdr:row>2</xdr:row>
      <xdr:rowOff>95252</xdr:rowOff>
    </xdr:from>
    <xdr:to>
      <xdr:col>1</xdr:col>
      <xdr:colOff>0</xdr:colOff>
      <xdr:row>2</xdr:row>
      <xdr:rowOff>114300</xdr:rowOff>
    </xdr:to>
    <xdr:cxnSp macro="">
      <xdr:nvCxnSpPr>
        <xdr:cNvPr id="4" name="53 Conector recto de flecha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 flipH="1" flipV="1">
          <a:off x="1200152" y="495302"/>
          <a:ext cx="990598" cy="1904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1209677</xdr:colOff>
      <xdr:row>3</xdr:row>
      <xdr:rowOff>104775</xdr:rowOff>
    </xdr:from>
    <xdr:to>
      <xdr:col>1</xdr:col>
      <xdr:colOff>0</xdr:colOff>
      <xdr:row>3</xdr:row>
      <xdr:rowOff>104777</xdr:rowOff>
    </xdr:to>
    <xdr:cxnSp macro="">
      <xdr:nvCxnSpPr>
        <xdr:cNvPr id="5" name="58 Conector recto de flecha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 flipH="1">
          <a:off x="1209677" y="704850"/>
          <a:ext cx="981073" cy="2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3</xdr:row>
      <xdr:rowOff>68580</xdr:rowOff>
    </xdr:from>
    <xdr:to>
      <xdr:col>6</xdr:col>
      <xdr:colOff>670560</xdr:colOff>
      <xdr:row>7</xdr:row>
      <xdr:rowOff>175260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5189220" y="655320"/>
          <a:ext cx="1097280" cy="8686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185531</xdr:colOff>
      <xdr:row>7</xdr:row>
      <xdr:rowOff>132522</xdr:rowOff>
    </xdr:from>
    <xdr:to>
      <xdr:col>11</xdr:col>
      <xdr:colOff>428046</xdr:colOff>
      <xdr:row>12</xdr:row>
      <xdr:rowOff>35450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10111409" y="1477618"/>
          <a:ext cx="1097280" cy="830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chemeClr val="bg1"/>
              </a:solidFill>
            </a:rPr>
            <a:t>MENU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lumnos/Desktop/ejercicios_de_curso_de_excell_INATEC/clase%20capacitacion%2012%20de%20septiembre%2009.xlsx" TargetMode="External"/><Relationship Id="rId1" Type="http://schemas.openxmlformats.org/officeDocument/2006/relationships/externalLinkPath" Target="/Users/Alumnos/Desktop/ejercicios_de_curso_de_excell_INATEC/clase%20capacitacion%2012%20de%20septiembre%200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lumnos/Desktop/curso%20cecna/excel%20intermedio/2-Presentacion%20de%20excel%20intermedio-claro.xlsx" TargetMode="External"/><Relationship Id="rId1" Type="http://schemas.openxmlformats.org/officeDocument/2006/relationships/externalLinkPath" Target="/Users/Alumnos/Desktop/curso%20cecna/excel%20intermedio/2-Presentacion%20de%20excel%20intermedio-cla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ularios"/>
      <sheetName val="lista desplegable"/>
      <sheetName val="filtro avanzado"/>
      <sheetName val="filtro avanzado2"/>
      <sheetName val="tabla dinamica"/>
      <sheetName val="pedido"/>
      <sheetName val="vehiculos subtotal"/>
      <sheetName val="vendedores subtotal"/>
      <sheetName val="existencia matriz"/>
      <sheetName val="planilla matriz 2"/>
      <sheetName val="Hoja7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introduccion"/>
      <sheetName val="TIPOS DE REFERECIA"/>
      <sheetName val="eje1"/>
      <sheetName val="eje2"/>
      <sheetName val="NOMBRES"/>
      <sheetName val="Ejemplo-nombre"/>
      <sheetName val="ADMINSTRARNOMBREEJEMPLO"/>
      <sheetName val="Errores"/>
      <sheetName val="ejemploerrores"/>
      <sheetName val="Formulas y funciones"/>
      <sheetName val="NOMINA"/>
      <sheetName val="tablas2"/>
      <sheetName val="REPORTE DE NOTAS"/>
      <sheetName val="VENTAS FRUTAS"/>
      <sheetName val="Funcionfechayhora (2)"/>
      <sheetName val="Funcionfechayhora"/>
      <sheetName val="FUNCIONES EJERCICIOS"/>
      <sheetName val="funcionesdetexto"/>
      <sheetName val="CONCATENARYENCONTRAR"/>
      <sheetName val="funcionmayusyminuscu"/>
      <sheetName val="extraer"/>
      <sheetName val="funcionbusquedayreferencia"/>
      <sheetName val="Buscar"/>
      <sheetName val="BUSCARV"/>
      <sheetName val="BUSCARH"/>
      <sheetName val="EJEBUS1"/>
      <sheetName val="EJEBUS2"/>
      <sheetName val="FUNCION BUSCAR"/>
      <sheetName val="funcion matematica"/>
      <sheetName val="ejematematica"/>
      <sheetName val="FUNCLOGICAS"/>
      <sheetName val="funcion logica"/>
      <sheetName val="ejemplo si"/>
      <sheetName val="FUNCION SI-Ejemplo"/>
      <sheetName val="FUNCIONOY"/>
      <sheetName val="ejemplo funcion o"/>
      <sheetName val="EJERFUCIOY"/>
      <sheetName val="formatocondici"/>
      <sheetName val="Formato Condicional"/>
      <sheetName val="graficodinamico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B13">
            <v>120</v>
          </cell>
        </row>
        <row r="14">
          <cell r="B14">
            <v>7</v>
          </cell>
        </row>
        <row r="15">
          <cell r="B15">
            <v>4</v>
          </cell>
        </row>
        <row r="16">
          <cell r="B16">
            <v>15</v>
          </cell>
        </row>
        <row r="17">
          <cell r="B17">
            <v>350</v>
          </cell>
        </row>
        <row r="18">
          <cell r="B18">
            <v>25</v>
          </cell>
        </row>
        <row r="19">
          <cell r="B19">
            <v>521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D18F4-FE26-4F36-9C85-D2B789B4F6A8}" name="Tabla1" displayName="Tabla1" ref="B5:F443" totalsRowShown="0" headerRowDxfId="46" headerRowBorderDxfId="45" tableBorderDxfId="44" totalsRowBorderDxfId="43" headerRowCellStyle="Normal 4">
  <autoFilter ref="B5:F443" xr:uid="{265D18F4-FE26-4F36-9C85-D2B789B4F6A8}"/>
  <tableColumns count="5">
    <tableColumn id="1" xr3:uid="{9305EF9D-E8EE-4568-BB0A-94A0991A89FF}" name="FECHA" dataDxfId="42" dataCellStyle="Normal 4"/>
    <tableColumn id="2" xr3:uid="{AE93DB4C-FAC2-45DB-AF8E-7FC943F57163}" name="CANT" dataDxfId="41" dataCellStyle="Normal 4"/>
    <tableColumn id="3" xr3:uid="{970314A1-9CF1-44C5-AF86-FBCC4D2350BF}" name="VENDEDOR" dataDxfId="40" dataCellStyle="Normal 4"/>
    <tableColumn id="4" xr3:uid="{708A3B8F-55CF-41C2-A579-542DC9A7C3C9}" name="ARTICULO" dataDxfId="39" dataCellStyle="Normal 4"/>
    <tableColumn id="5" xr3:uid="{0145FA9F-2A71-49B4-935B-F917042D3C74}" name="DPTO" dataDxfId="38" dataCellStyle="Normal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AED418-E726-4D45-ABF4-03F995D9B2E8}" name="Tabla2" displayName="Tabla2" ref="A5:E443" totalsRowShown="0" headerRowDxfId="37" headerRowBorderDxfId="36" tableBorderDxfId="35" totalsRowBorderDxfId="34" headerRowCellStyle="Normal 4">
  <autoFilter ref="A5:E443" xr:uid="{00000000-0009-0000-0000-00000D000000}"/>
  <tableColumns count="5">
    <tableColumn id="1" xr3:uid="{779F5AD4-86B7-4D7F-8F70-45979AC79CAE}" name="FECHA" dataDxfId="33" dataCellStyle="Normal 4"/>
    <tableColumn id="2" xr3:uid="{C0D9A4F4-C5CB-407F-AAA6-B45541307617}" name="CANT" dataDxfId="32" dataCellStyle="Normal 4"/>
    <tableColumn id="3" xr3:uid="{5BF646DB-6AB1-43AC-BF73-0BD6714B7D70}" name="VENDEDOR" dataDxfId="31" dataCellStyle="Normal 4"/>
    <tableColumn id="4" xr3:uid="{382F07AF-18C6-4A96-AFBF-9DEAD1B4D15E}" name="ARTICULO" dataDxfId="30" dataCellStyle="Normal 4"/>
    <tableColumn id="5" xr3:uid="{4BE4D919-E999-4EED-BFA9-4BA8E48E77E5}" name="DPTO" dataDxfId="29" dataCellStyle="Normal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895CB-1E86-4B96-A77D-37815C5EE56E}" name="Tabla3" displayName="Tabla3" ref="A2:F144" totalsRowShown="0" headerRowDxfId="28" headerRowBorderDxfId="27" tableBorderDxfId="26" headerRowCellStyle="Normal 6">
  <autoFilter ref="A2:F144" xr:uid="{361895CB-1E86-4B96-A77D-37815C5EE56E}"/>
  <tableColumns count="6">
    <tableColumn id="1" xr3:uid="{9D88B9A6-CDCB-4AE7-9904-6586AEA48C54}" name="Delegación" dataDxfId="25" dataCellStyle="Normal 6"/>
    <tableColumn id="2" xr3:uid="{B4F2103C-035A-4195-A7D5-BCA126FE6649}" name="Apellido" dataDxfId="24" dataCellStyle="Normal 6"/>
    <tableColumn id="3" xr3:uid="{179AAE1D-6315-4978-8A2C-C8E5F9D89102}" name="Nombre" dataDxfId="23" dataCellStyle="Normal 6"/>
    <tableColumn id="4" xr3:uid="{EF71E3B3-F406-4708-BD5E-0D28812A5809}" name="Departamento" dataDxfId="22" dataCellStyle="Normal 6"/>
    <tableColumn id="5" xr3:uid="{E20E1417-FEB6-44F4-88E9-28024E32E290}" name="Contrato" dataDxfId="21" dataCellStyle="Normal 6"/>
    <tableColumn id="6" xr3:uid="{466375E5-B7F4-4E7C-B5E7-EAB448006561}" name="salario" dataDxfId="20" dataCellStyle="Millar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B4AB-B7E7-4265-B077-173E9237BFA4}">
  <sheetPr>
    <tabColor theme="7"/>
  </sheetPr>
  <dimension ref="A1"/>
  <sheetViews>
    <sheetView showGridLines="0" topLeftCell="A7" zoomScale="70" zoomScaleNormal="70" workbookViewId="0"/>
  </sheetViews>
  <sheetFormatPr base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4">
    <tabColor theme="1"/>
  </sheetPr>
  <dimension ref="A1:R33"/>
  <sheetViews>
    <sheetView showGridLines="0" zoomScale="130" zoomScaleNormal="130" workbookViewId="0"/>
  </sheetViews>
  <sheetFormatPr baseColWidth="10" defaultColWidth="11.44140625" defaultRowHeight="13.2"/>
  <cols>
    <col min="1" max="1" width="3.44140625" style="108" customWidth="1"/>
    <col min="2" max="4" width="11.44140625" style="108"/>
    <col min="5" max="5" width="17.6640625" style="108" bestFit="1" customWidth="1"/>
    <col min="6" max="6" width="3.109375" style="108" customWidth="1"/>
    <col min="7" max="8" width="6.44140625" style="108" customWidth="1"/>
    <col min="9" max="9" width="11" style="108" bestFit="1" customWidth="1"/>
    <col min="10" max="10" width="9.109375" style="108" bestFit="1" customWidth="1"/>
    <col min="11" max="11" width="4.6640625" style="108" customWidth="1"/>
    <col min="12" max="16" width="6.44140625" style="108" customWidth="1"/>
    <col min="17" max="17" width="3.5546875" style="108" customWidth="1"/>
    <col min="18" max="18" width="2.6640625" style="108" customWidth="1"/>
    <col min="19" max="16384" width="11.44140625" style="108"/>
  </cols>
  <sheetData>
    <row r="1" spans="1:18" ht="20.399999999999999">
      <c r="A1" s="107" t="s">
        <v>663</v>
      </c>
      <c r="R1" s="109"/>
    </row>
    <row r="2" spans="1:18" ht="20.399999999999999">
      <c r="A2" s="110"/>
      <c r="R2" s="109"/>
    </row>
    <row r="3" spans="1:18">
      <c r="A3" s="111" t="s">
        <v>664</v>
      </c>
      <c r="R3" s="109"/>
    </row>
    <row r="4" spans="1:18">
      <c r="A4" s="111" t="s">
        <v>665</v>
      </c>
      <c r="R4" s="109"/>
    </row>
    <row r="5" spans="1:18">
      <c r="A5" s="111" t="s">
        <v>666</v>
      </c>
      <c r="R5" s="109"/>
    </row>
    <row r="6" spans="1:18">
      <c r="A6" s="111"/>
      <c r="R6" s="109"/>
    </row>
    <row r="7" spans="1:18">
      <c r="A7" s="111" t="s">
        <v>667</v>
      </c>
      <c r="R7" s="109"/>
    </row>
    <row r="8" spans="1:18">
      <c r="A8" s="188" t="s">
        <v>668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09"/>
    </row>
    <row r="9" spans="1:18" ht="14.4">
      <c r="A9" s="112" t="s">
        <v>669</v>
      </c>
      <c r="R9" s="109">
        <v>0</v>
      </c>
    </row>
    <row r="10" spans="1:18" ht="14.4">
      <c r="A10" s="112" t="s">
        <v>670</v>
      </c>
      <c r="R10" s="109"/>
    </row>
    <row r="11" spans="1:18" ht="10.5" customHeight="1">
      <c r="A11" s="112" t="s">
        <v>671</v>
      </c>
      <c r="R11" s="109"/>
    </row>
    <row r="12" spans="1:18" ht="14.4">
      <c r="A12" s="112" t="s">
        <v>672</v>
      </c>
      <c r="R12" s="109"/>
    </row>
    <row r="13" spans="1:18" ht="14.4">
      <c r="A13" s="112" t="s">
        <v>673</v>
      </c>
      <c r="R13" s="109"/>
    </row>
    <row r="14" spans="1:18" ht="14.4">
      <c r="A14" s="112" t="s">
        <v>674</v>
      </c>
      <c r="R14" s="109"/>
    </row>
    <row r="15" spans="1:18" ht="14.4">
      <c r="A15" s="113" t="s">
        <v>675</v>
      </c>
      <c r="R15" s="109"/>
    </row>
    <row r="16" spans="1:18" ht="14.4">
      <c r="A16" s="112" t="s">
        <v>676</v>
      </c>
      <c r="R16" s="109"/>
    </row>
    <row r="17" spans="1:18">
      <c r="R17" s="109"/>
    </row>
    <row r="18" spans="1:18">
      <c r="A18" s="109"/>
      <c r="B18" s="114" t="s">
        <v>677</v>
      </c>
      <c r="C18" s="109"/>
      <c r="D18" s="109"/>
      <c r="E18" s="109"/>
      <c r="F18" s="109"/>
      <c r="R18" s="109"/>
    </row>
    <row r="19" spans="1:18" ht="14.4">
      <c r="A19" s="109"/>
      <c r="B19" s="189" t="s">
        <v>678</v>
      </c>
      <c r="C19" s="189"/>
      <c r="D19" s="189"/>
      <c r="E19" s="189"/>
      <c r="F19" s="115"/>
      <c r="I19" s="108" t="s">
        <v>760</v>
      </c>
      <c r="J19" s="108">
        <f>AVERAGE(E22:E27)</f>
        <v>114.08333333333333</v>
      </c>
      <c r="R19" s="109"/>
    </row>
    <row r="20" spans="1:18">
      <c r="A20" s="109"/>
      <c r="B20" s="190" t="s">
        <v>679</v>
      </c>
      <c r="C20" s="190"/>
      <c r="D20" s="190"/>
      <c r="E20" s="190"/>
      <c r="F20" s="115"/>
      <c r="I20" s="108" t="s">
        <v>761</v>
      </c>
      <c r="J20" s="108">
        <f>+COUNT(E22:E27)</f>
        <v>6</v>
      </c>
      <c r="R20" s="109"/>
    </row>
    <row r="21" spans="1:18">
      <c r="A21" s="109"/>
      <c r="B21" s="116" t="s">
        <v>680</v>
      </c>
      <c r="C21" s="116" t="s">
        <v>681</v>
      </c>
      <c r="D21" s="116" t="s">
        <v>682</v>
      </c>
      <c r="E21" s="117" t="s">
        <v>683</v>
      </c>
      <c r="F21" s="115"/>
      <c r="R21" s="109"/>
    </row>
    <row r="22" spans="1:18">
      <c r="A22" s="109"/>
      <c r="B22" s="118" t="s">
        <v>684</v>
      </c>
      <c r="C22" s="118">
        <v>12</v>
      </c>
      <c r="D22" s="118">
        <v>25</v>
      </c>
      <c r="E22" s="118">
        <f>C22*D22</f>
        <v>300</v>
      </c>
      <c r="F22" s="115"/>
      <c r="R22" s="109"/>
    </row>
    <row r="23" spans="1:18">
      <c r="A23" s="109"/>
      <c r="B23" s="118" t="s">
        <v>685</v>
      </c>
      <c r="C23" s="118">
        <v>50</v>
      </c>
      <c r="D23" s="118">
        <v>120</v>
      </c>
      <c r="E23" s="118">
        <f>SUM(C23:D23)</f>
        <v>170</v>
      </c>
      <c r="F23" s="115"/>
      <c r="R23" s="109"/>
    </row>
    <row r="24" spans="1:18">
      <c r="A24" s="109"/>
      <c r="B24" s="118" t="s">
        <v>686</v>
      </c>
      <c r="C24" s="118">
        <v>3</v>
      </c>
      <c r="D24" s="118">
        <v>350</v>
      </c>
      <c r="E24" s="118">
        <f>MODE(D22:D27)</f>
        <v>25</v>
      </c>
      <c r="F24" s="115"/>
      <c r="R24" s="109"/>
    </row>
    <row r="25" spans="1:18">
      <c r="A25" s="109"/>
      <c r="B25" s="118" t="s">
        <v>687</v>
      </c>
      <c r="C25" s="118">
        <v>2</v>
      </c>
      <c r="D25" s="147">
        <v>74</v>
      </c>
      <c r="E25" s="148">
        <f>+C25*D25</f>
        <v>148</v>
      </c>
      <c r="F25" s="115"/>
      <c r="R25" s="109"/>
    </row>
    <row r="26" spans="1:18">
      <c r="A26" s="109"/>
      <c r="B26" s="118" t="s">
        <v>688</v>
      </c>
      <c r="C26" s="149">
        <v>50</v>
      </c>
      <c r="D26" s="118">
        <v>25</v>
      </c>
      <c r="E26" s="108">
        <f>+AVERAGE(C26:D26)</f>
        <v>37.5</v>
      </c>
      <c r="F26" s="115"/>
      <c r="R26" s="109"/>
    </row>
    <row r="27" spans="1:18">
      <c r="A27" s="109"/>
      <c r="B27" s="118" t="s">
        <v>689</v>
      </c>
      <c r="C27" s="118">
        <v>4</v>
      </c>
      <c r="D27" s="118">
        <v>300</v>
      </c>
      <c r="E27" s="118">
        <f>+SQRT(16)</f>
        <v>4</v>
      </c>
      <c r="F27" s="115"/>
      <c r="R27" s="109"/>
    </row>
    <row r="28" spans="1:18">
      <c r="A28" s="115"/>
      <c r="B28" s="115"/>
      <c r="C28" s="115"/>
      <c r="D28" s="115"/>
      <c r="E28" s="115"/>
      <c r="F28" s="115"/>
      <c r="R28" s="109"/>
    </row>
    <row r="29" spans="1:18">
      <c r="R29" s="109"/>
    </row>
    <row r="30" spans="1: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</row>
    <row r="33" spans="9:9">
      <c r="I33" s="108" t="s">
        <v>499</v>
      </c>
    </row>
  </sheetData>
  <mergeCells count="3">
    <mergeCell ref="A8:Q8"/>
    <mergeCell ref="B19:E19"/>
    <mergeCell ref="B20:E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AC30"/>
  <sheetViews>
    <sheetView topLeftCell="A4" zoomScaleNormal="100" workbookViewId="0">
      <selection activeCell="M25" sqref="M25"/>
    </sheetView>
  </sheetViews>
  <sheetFormatPr baseColWidth="10" defaultRowHeight="14.4"/>
  <cols>
    <col min="1" max="5" width="8" customWidth="1"/>
    <col min="6" max="13" width="8" style="41" customWidth="1"/>
    <col min="14" max="14" width="8" customWidth="1"/>
    <col min="15" max="15" width="3.5546875" customWidth="1"/>
    <col min="16" max="29" width="7.88671875" customWidth="1"/>
    <col min="30" max="31" width="5.88671875" customWidth="1"/>
  </cols>
  <sheetData>
    <row r="1" spans="1:29" ht="31.2">
      <c r="A1" s="192" t="s">
        <v>662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05"/>
      <c r="P1" s="192" t="s">
        <v>661</v>
      </c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</row>
    <row r="2" spans="1:29" ht="18.75" customHeight="1">
      <c r="A2" s="193" t="s">
        <v>660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spans="1:29" ht="18.75" customHeight="1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</row>
    <row r="4" spans="1:29" ht="18.75" customHeight="1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</row>
    <row r="5" spans="1:29" ht="18.75" customHeight="1">
      <c r="A5" s="105"/>
      <c r="B5" s="105"/>
      <c r="C5" s="105"/>
      <c r="D5" s="105"/>
      <c r="E5" s="105"/>
      <c r="F5" s="106"/>
      <c r="G5" s="106"/>
      <c r="H5" s="106"/>
      <c r="I5" s="106"/>
      <c r="J5" s="106"/>
      <c r="K5" s="106"/>
      <c r="L5" s="106"/>
      <c r="M5" s="106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</row>
    <row r="6" spans="1:29">
      <c r="A6" s="105"/>
      <c r="B6" s="105"/>
      <c r="C6" s="105"/>
      <c r="D6" s="105"/>
      <c r="E6" s="105"/>
      <c r="F6" s="106"/>
      <c r="G6" s="106"/>
      <c r="H6" s="106"/>
      <c r="I6" s="106"/>
      <c r="J6" s="106"/>
      <c r="K6" s="106"/>
      <c r="L6" s="106"/>
      <c r="M6" s="106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</row>
    <row r="7" spans="1:29" ht="18.75" customHeight="1">
      <c r="A7" s="105"/>
      <c r="B7" s="105"/>
      <c r="C7" s="105"/>
      <c r="D7" s="105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</row>
    <row r="8" spans="1:29" ht="18.75" customHeight="1">
      <c r="A8" s="105"/>
      <c r="B8" s="105"/>
      <c r="C8" s="105"/>
      <c r="D8" s="105"/>
      <c r="E8" s="105"/>
      <c r="F8" s="106"/>
      <c r="G8" s="106"/>
      <c r="H8" s="106"/>
      <c r="I8" s="106"/>
      <c r="J8" s="106"/>
      <c r="K8" s="106"/>
      <c r="L8" s="106"/>
      <c r="M8" s="106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</row>
    <row r="9" spans="1:29" ht="18.75" customHeight="1">
      <c r="A9" s="105"/>
      <c r="B9" s="105"/>
      <c r="C9" s="105"/>
      <c r="D9" s="105"/>
      <c r="E9" s="105"/>
      <c r="F9" s="106"/>
      <c r="G9" s="106"/>
      <c r="H9" s="106"/>
      <c r="I9" s="106"/>
      <c r="J9" s="106"/>
      <c r="K9" s="106"/>
      <c r="L9" s="106"/>
      <c r="M9" s="106"/>
      <c r="N9" s="106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</row>
    <row r="10" spans="1:29" ht="18.75" customHeight="1">
      <c r="A10" s="105"/>
      <c r="B10" s="105"/>
      <c r="C10" s="105"/>
      <c r="D10" s="105"/>
      <c r="E10" s="105"/>
      <c r="F10" s="106"/>
      <c r="G10" s="106"/>
      <c r="H10" s="106"/>
      <c r="I10" s="106"/>
      <c r="J10" s="106"/>
      <c r="K10" s="106"/>
      <c r="L10" s="106"/>
      <c r="M10" s="106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</row>
    <row r="11" spans="1:29" ht="18.75" customHeight="1">
      <c r="A11" s="105"/>
      <c r="B11" s="105"/>
      <c r="C11" s="105"/>
      <c r="D11" s="105"/>
      <c r="E11" s="105"/>
      <c r="F11" s="106"/>
      <c r="G11" s="106"/>
      <c r="H11" s="106"/>
      <c r="I11" s="106"/>
      <c r="J11" s="106"/>
      <c r="K11" s="106"/>
      <c r="L11" s="106"/>
      <c r="M11" s="106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</row>
    <row r="12" spans="1:29" ht="18.75" customHeight="1">
      <c r="A12" s="105"/>
      <c r="B12" s="105"/>
      <c r="C12" s="105"/>
      <c r="D12" s="105"/>
      <c r="E12" s="105"/>
      <c r="F12" s="106"/>
      <c r="G12" s="106"/>
      <c r="H12" s="106"/>
      <c r="I12" s="106"/>
      <c r="J12" s="106"/>
      <c r="K12" s="106"/>
      <c r="L12" s="106"/>
      <c r="M12" s="106"/>
      <c r="N12" s="105"/>
      <c r="O12" s="105"/>
      <c r="P12" s="191" t="s">
        <v>659</v>
      </c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</row>
    <row r="13" spans="1:29" ht="18.75" customHeight="1">
      <c r="A13" s="105"/>
      <c r="B13" s="105"/>
      <c r="C13" s="105"/>
      <c r="D13" s="105"/>
      <c r="E13" s="105"/>
      <c r="F13" s="106"/>
      <c r="G13" s="106"/>
      <c r="H13" s="106"/>
      <c r="I13" s="106"/>
      <c r="J13" s="106"/>
      <c r="K13" s="106"/>
      <c r="L13" s="106"/>
      <c r="M13" s="106"/>
      <c r="N13" s="105"/>
      <c r="O13" s="105"/>
      <c r="P13" s="105"/>
      <c r="Q13" s="194" t="s">
        <v>658</v>
      </c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05"/>
    </row>
    <row r="14" spans="1:29" ht="21" customHeight="1">
      <c r="A14" s="191" t="s">
        <v>657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</row>
    <row r="15" spans="1:29" ht="18.75" customHeight="1">
      <c r="A15" s="105"/>
      <c r="B15" s="105"/>
      <c r="C15" s="105"/>
      <c r="D15" s="105"/>
      <c r="E15" s="105"/>
      <c r="F15" s="106"/>
      <c r="G15" s="106"/>
      <c r="H15" s="106"/>
      <c r="I15" s="106"/>
      <c r="J15" s="106"/>
      <c r="K15" s="106"/>
      <c r="L15" s="106"/>
      <c r="M15" s="106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</row>
    <row r="16" spans="1:29" ht="18.75" customHeight="1">
      <c r="A16" s="105"/>
      <c r="B16" s="105"/>
      <c r="C16" s="105"/>
      <c r="D16" s="105"/>
      <c r="E16" s="105"/>
      <c r="F16" s="106"/>
      <c r="G16" s="106"/>
      <c r="H16" s="106"/>
      <c r="I16" s="106"/>
      <c r="J16" s="106"/>
      <c r="K16" s="106"/>
      <c r="L16" s="106"/>
      <c r="M16" s="106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</row>
    <row r="17" spans="1:29" ht="18.75" customHeight="1">
      <c r="A17" s="105"/>
      <c r="B17" s="105"/>
      <c r="C17" s="105"/>
      <c r="D17" s="105"/>
      <c r="E17" s="105"/>
      <c r="F17" s="106"/>
      <c r="G17" s="106"/>
      <c r="H17" s="106"/>
      <c r="I17" s="106"/>
      <c r="J17" s="106"/>
      <c r="K17" s="106"/>
      <c r="L17" s="106"/>
      <c r="M17" s="106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</row>
    <row r="18" spans="1:29" ht="18.75" customHeight="1">
      <c r="A18" s="105"/>
      <c r="B18" s="105"/>
      <c r="C18" s="105"/>
      <c r="D18" s="105"/>
      <c r="E18" s="105"/>
      <c r="F18" s="106"/>
      <c r="G18" s="106"/>
      <c r="H18" s="106"/>
      <c r="I18" s="106"/>
      <c r="J18" s="106"/>
      <c r="K18" s="106"/>
      <c r="L18" s="106"/>
      <c r="M18" s="106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</row>
    <row r="19" spans="1:29" ht="18.75" customHeight="1">
      <c r="A19" s="105"/>
      <c r="B19" s="105"/>
      <c r="C19" s="105"/>
      <c r="D19" s="105"/>
      <c r="E19" s="105"/>
      <c r="F19" s="106"/>
      <c r="G19" s="106"/>
      <c r="H19" s="106"/>
      <c r="I19" s="106"/>
      <c r="J19" s="106"/>
      <c r="K19" s="106"/>
      <c r="L19" s="106"/>
      <c r="M19" s="106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</row>
    <row r="20" spans="1:29" ht="18.75" customHeight="1">
      <c r="A20" s="105"/>
      <c r="B20" s="105"/>
      <c r="C20" s="105"/>
      <c r="D20" s="105"/>
      <c r="E20" s="105"/>
      <c r="F20" s="106"/>
      <c r="G20" s="106"/>
      <c r="H20" s="106"/>
      <c r="I20" s="106"/>
      <c r="J20" s="106"/>
      <c r="K20" s="106"/>
      <c r="L20" s="106"/>
      <c r="M20" s="106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</row>
    <row r="21" spans="1:29" ht="18.75" customHeight="1">
      <c r="A21" s="105"/>
      <c r="B21" s="105"/>
      <c r="C21" s="105"/>
      <c r="D21" s="105"/>
      <c r="E21" s="105"/>
      <c r="F21" s="106"/>
      <c r="G21" s="106"/>
      <c r="H21" s="106"/>
      <c r="I21" s="106"/>
      <c r="J21" s="106"/>
      <c r="K21" s="106"/>
      <c r="L21" s="106"/>
      <c r="M21" s="106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</row>
    <row r="22" spans="1:29" ht="18.75" customHeight="1">
      <c r="A22" s="105"/>
      <c r="B22" s="105"/>
      <c r="C22" s="105"/>
      <c r="D22" s="105"/>
      <c r="E22" s="105"/>
      <c r="F22" s="106"/>
      <c r="G22" s="106"/>
      <c r="H22" s="106"/>
      <c r="I22" s="106"/>
      <c r="J22" s="106"/>
      <c r="K22" s="106"/>
      <c r="L22" s="106"/>
      <c r="M22" s="106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</row>
    <row r="23" spans="1:29" ht="18.75" customHeight="1">
      <c r="A23" s="105"/>
      <c r="B23" s="105"/>
      <c r="C23" s="105"/>
      <c r="D23" s="105"/>
      <c r="E23" s="105"/>
      <c r="F23" s="106"/>
      <c r="G23" s="106"/>
      <c r="H23" s="106"/>
      <c r="I23" s="106"/>
      <c r="J23" s="106"/>
      <c r="K23" s="106"/>
      <c r="L23" s="106"/>
      <c r="M23" s="106"/>
      <c r="N23" s="105"/>
      <c r="O23" s="105"/>
      <c r="P23" s="191" t="s">
        <v>656</v>
      </c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</row>
    <row r="24" spans="1:29" ht="18.75" customHeight="1">
      <c r="A24" s="105"/>
      <c r="B24" s="105"/>
      <c r="C24" s="105"/>
      <c r="D24" s="105"/>
      <c r="E24" s="105"/>
      <c r="F24" s="106"/>
      <c r="G24" s="106"/>
      <c r="H24" s="106"/>
      <c r="I24" s="106"/>
      <c r="J24" s="106"/>
      <c r="K24" s="106"/>
      <c r="L24" s="106"/>
      <c r="M24" s="106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</row>
    <row r="25" spans="1:29" ht="18.75" customHeight="1">
      <c r="A25" s="105"/>
      <c r="B25" s="105"/>
      <c r="C25" s="105"/>
      <c r="D25" s="105"/>
      <c r="E25" s="105"/>
      <c r="F25" s="106"/>
      <c r="G25" s="106"/>
      <c r="H25" s="106"/>
      <c r="I25" s="106"/>
      <c r="J25" s="106"/>
      <c r="K25" s="106"/>
      <c r="L25" s="106"/>
      <c r="M25" s="106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</row>
    <row r="26" spans="1:29">
      <c r="A26" s="105"/>
      <c r="B26" s="105"/>
      <c r="C26" s="105"/>
      <c r="D26" s="105"/>
      <c r="E26" s="105"/>
      <c r="F26" s="106"/>
      <c r="G26" s="106"/>
      <c r="H26" s="106"/>
      <c r="I26" s="106"/>
      <c r="J26" s="106"/>
      <c r="K26" s="106"/>
      <c r="L26" s="106"/>
      <c r="M26" s="106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</row>
    <row r="27" spans="1:29">
      <c r="A27" s="105"/>
      <c r="B27" s="105"/>
      <c r="C27" s="105"/>
      <c r="D27" s="105"/>
      <c r="E27" s="105"/>
      <c r="F27" s="106"/>
      <c r="G27" s="106"/>
      <c r="H27" s="106"/>
      <c r="I27" s="106"/>
      <c r="J27" s="106"/>
      <c r="K27" s="106"/>
      <c r="L27" s="106"/>
      <c r="M27" s="106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</row>
    <row r="28" spans="1:29">
      <c r="A28" s="105"/>
      <c r="B28" s="105"/>
      <c r="C28" s="105"/>
      <c r="D28" s="105"/>
      <c r="E28" s="105"/>
      <c r="F28" s="106"/>
      <c r="G28" s="106"/>
      <c r="H28" s="106"/>
      <c r="I28" s="106"/>
      <c r="J28" s="106"/>
      <c r="K28" s="106"/>
      <c r="L28" s="106"/>
      <c r="M28" s="106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</row>
    <row r="29" spans="1:29">
      <c r="A29" s="105"/>
      <c r="B29" s="105"/>
      <c r="C29" s="105"/>
      <c r="D29" s="105"/>
      <c r="E29" s="105"/>
      <c r="F29" s="106"/>
      <c r="G29" s="106"/>
      <c r="H29" s="106"/>
      <c r="I29" s="106"/>
      <c r="J29" s="106"/>
      <c r="K29" s="106"/>
      <c r="L29" s="106"/>
      <c r="M29" s="106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</row>
    <row r="30" spans="1:29">
      <c r="A30" s="105"/>
      <c r="B30" s="105"/>
      <c r="C30" s="105"/>
      <c r="D30" s="105"/>
      <c r="E30" s="105"/>
      <c r="F30" s="106"/>
      <c r="G30" s="106"/>
      <c r="H30" s="106"/>
      <c r="I30" s="106"/>
      <c r="J30" s="106"/>
      <c r="K30" s="106"/>
      <c r="L30" s="106"/>
      <c r="M30" s="106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</row>
  </sheetData>
  <mergeCells count="7">
    <mergeCell ref="P23:AC23"/>
    <mergeCell ref="A1:N1"/>
    <mergeCell ref="A2:N4"/>
    <mergeCell ref="A14:N14"/>
    <mergeCell ref="P1:AC1"/>
    <mergeCell ref="P12:AC12"/>
    <mergeCell ref="Q13:AB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FFFF00"/>
  </sheetPr>
  <dimension ref="A1:N19"/>
  <sheetViews>
    <sheetView showGridLines="0" zoomScale="130" zoomScaleNormal="130" workbookViewId="0">
      <selection activeCell="H9" sqref="H9"/>
    </sheetView>
  </sheetViews>
  <sheetFormatPr baseColWidth="10" defaultRowHeight="14.4"/>
  <cols>
    <col min="6" max="6" width="1.6640625" customWidth="1"/>
    <col min="7" max="7" width="2.88671875" customWidth="1"/>
    <col min="14" max="14" width="3.33203125" customWidth="1"/>
  </cols>
  <sheetData>
    <row r="1" spans="1:14" ht="23.25" customHeight="1">
      <c r="A1" s="201" t="s">
        <v>2</v>
      </c>
      <c r="B1" s="201"/>
      <c r="C1" s="201"/>
      <c r="D1" s="201"/>
      <c r="E1" s="201"/>
      <c r="G1" s="195" t="s">
        <v>3</v>
      </c>
      <c r="H1" s="196"/>
      <c r="I1" s="196"/>
      <c r="J1" s="196"/>
      <c r="K1" s="196"/>
      <c r="L1" s="196"/>
      <c r="M1" s="196"/>
      <c r="N1" s="197"/>
    </row>
    <row r="2" spans="1:14" ht="15" thickBot="1">
      <c r="G2" s="198"/>
      <c r="H2" s="199"/>
      <c r="I2" s="199"/>
      <c r="J2" s="199"/>
      <c r="K2" s="199"/>
      <c r="L2" s="199"/>
      <c r="M2" s="199"/>
      <c r="N2" s="200"/>
    </row>
    <row r="3" spans="1:14">
      <c r="G3" s="11"/>
      <c r="H3" s="12"/>
      <c r="I3" s="12"/>
      <c r="J3" s="12"/>
      <c r="K3" s="12"/>
      <c r="L3" s="12"/>
      <c r="M3" s="12"/>
      <c r="N3" s="13"/>
    </row>
    <row r="4" spans="1:14" ht="17.399999999999999">
      <c r="G4" s="2"/>
      <c r="H4" s="4" t="s">
        <v>4</v>
      </c>
      <c r="I4" s="5"/>
      <c r="J4" s="6"/>
      <c r="K4" s="6"/>
      <c r="L4" s="6"/>
      <c r="M4" s="6"/>
      <c r="N4" s="3"/>
    </row>
    <row r="5" spans="1:14" ht="17.399999999999999">
      <c r="G5" s="2"/>
      <c r="H5" s="4" t="s">
        <v>5</v>
      </c>
      <c r="I5" s="5"/>
      <c r="J5" s="6"/>
      <c r="K5" s="6"/>
      <c r="L5" s="6"/>
      <c r="M5" s="6"/>
      <c r="N5" s="3"/>
    </row>
    <row r="6" spans="1:14" ht="17.399999999999999">
      <c r="G6" s="2"/>
      <c r="H6" s="4" t="s">
        <v>6</v>
      </c>
      <c r="I6" s="5"/>
      <c r="J6" s="6"/>
      <c r="K6" s="6"/>
      <c r="L6" s="6"/>
      <c r="M6" s="6"/>
      <c r="N6" s="3"/>
    </row>
    <row r="7" spans="1:14" ht="17.399999999999999">
      <c r="G7" s="2"/>
      <c r="H7" s="4" t="s">
        <v>7</v>
      </c>
      <c r="I7" s="5"/>
      <c r="J7" s="6"/>
      <c r="K7" s="6"/>
      <c r="L7" s="6"/>
      <c r="M7" s="6"/>
      <c r="N7" s="3"/>
    </row>
    <row r="8" spans="1:14" ht="17.399999999999999">
      <c r="G8" s="2"/>
      <c r="H8" s="4" t="s">
        <v>8</v>
      </c>
      <c r="I8" s="5"/>
      <c r="J8" s="6"/>
      <c r="K8" s="6"/>
      <c r="L8" s="6"/>
      <c r="M8" s="6"/>
      <c r="N8" s="3"/>
    </row>
    <row r="9" spans="1:14" ht="17.399999999999999">
      <c r="G9" s="2"/>
      <c r="H9" s="4" t="s">
        <v>9</v>
      </c>
      <c r="I9" s="5"/>
      <c r="J9" s="6"/>
      <c r="K9" s="6"/>
      <c r="L9" s="6"/>
      <c r="M9" s="6"/>
      <c r="N9" s="3"/>
    </row>
    <row r="10" spans="1:14" ht="17.399999999999999">
      <c r="G10" s="2"/>
      <c r="H10" s="4" t="s">
        <v>10</v>
      </c>
      <c r="I10" s="5"/>
      <c r="J10" s="6"/>
      <c r="K10" s="6"/>
      <c r="L10" s="6"/>
      <c r="M10" s="6"/>
      <c r="N10" s="3"/>
    </row>
    <row r="11" spans="1:14" ht="18.600000000000001" thickBot="1">
      <c r="G11" s="7"/>
      <c r="H11" s="14" t="s">
        <v>11</v>
      </c>
      <c r="I11" s="8"/>
      <c r="J11" s="9"/>
      <c r="K11" s="9"/>
      <c r="L11" s="9"/>
      <c r="M11" s="9"/>
      <c r="N11" s="10"/>
    </row>
    <row r="13" spans="1:14">
      <c r="A13" s="17" t="s">
        <v>20</v>
      </c>
      <c r="B13" s="18"/>
      <c r="C13" s="18"/>
      <c r="D13" s="18"/>
      <c r="E13" s="18"/>
      <c r="F13" s="18"/>
      <c r="G13" s="18"/>
      <c r="H13" s="17" t="s">
        <v>22</v>
      </c>
      <c r="I13" s="18"/>
      <c r="J13" s="18"/>
      <c r="K13" s="18"/>
      <c r="L13" s="18"/>
      <c r="M13" s="18"/>
      <c r="N13" s="18"/>
    </row>
    <row r="14" spans="1:14">
      <c r="A14" s="15" t="s">
        <v>21</v>
      </c>
      <c r="G14" s="16"/>
      <c r="H14" s="15" t="s">
        <v>23</v>
      </c>
      <c r="N14" s="16"/>
    </row>
    <row r="15" spans="1:14">
      <c r="A15" s="17" t="s">
        <v>14</v>
      </c>
      <c r="B15" s="18"/>
      <c r="C15" s="18"/>
      <c r="D15" s="18"/>
      <c r="E15" s="18"/>
      <c r="F15" s="18"/>
      <c r="G15" s="16"/>
      <c r="H15" s="15" t="s">
        <v>24</v>
      </c>
      <c r="N15" s="16"/>
    </row>
    <row r="16" spans="1:14">
      <c r="A16" s="15" t="s">
        <v>15</v>
      </c>
      <c r="G16" s="16"/>
      <c r="H16" s="17" t="s">
        <v>16</v>
      </c>
      <c r="I16" s="18"/>
      <c r="J16" s="18"/>
      <c r="K16" s="18"/>
      <c r="L16" s="18"/>
      <c r="M16" s="18"/>
      <c r="N16" s="18"/>
    </row>
    <row r="17" spans="1:14">
      <c r="A17" s="17" t="s">
        <v>12</v>
      </c>
      <c r="B17" s="18"/>
      <c r="C17" s="18"/>
      <c r="D17" s="18"/>
      <c r="E17" s="18"/>
      <c r="F17" s="16"/>
      <c r="G17" s="16"/>
      <c r="H17" s="19" t="s">
        <v>17</v>
      </c>
      <c r="I17" s="19" t="s">
        <v>18</v>
      </c>
      <c r="J17" s="19" t="s">
        <v>19</v>
      </c>
      <c r="N17" s="18"/>
    </row>
    <row r="18" spans="1:14">
      <c r="A18" s="15" t="s">
        <v>13</v>
      </c>
      <c r="G18" s="16"/>
      <c r="N18" s="16"/>
    </row>
    <row r="19" spans="1:1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</sheetData>
  <mergeCells count="2">
    <mergeCell ref="G1:N2"/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O26"/>
  <sheetViews>
    <sheetView showGridLines="0" zoomScaleNormal="100" workbookViewId="0">
      <selection activeCell="K24" sqref="K24"/>
    </sheetView>
  </sheetViews>
  <sheetFormatPr baseColWidth="10" defaultColWidth="15.44140625" defaultRowHeight="14.4"/>
  <cols>
    <col min="1" max="16384" width="15.44140625" style="41"/>
  </cols>
  <sheetData>
    <row r="1" spans="1:15">
      <c r="D1" s="202" t="s">
        <v>724</v>
      </c>
      <c r="E1" s="202"/>
      <c r="F1" s="136">
        <v>120</v>
      </c>
    </row>
    <row r="3" spans="1:15">
      <c r="D3" s="203" t="s">
        <v>725</v>
      </c>
      <c r="E3" s="203"/>
      <c r="F3" s="203"/>
      <c r="G3" s="203"/>
      <c r="H3" s="204" t="s">
        <v>726</v>
      </c>
      <c r="I3" s="204"/>
      <c r="J3" s="204"/>
      <c r="K3" s="204"/>
      <c r="L3" s="205" t="s">
        <v>727</v>
      </c>
      <c r="M3" s="205"/>
      <c r="N3" s="205"/>
      <c r="O3" s="205"/>
    </row>
    <row r="4" spans="1:15">
      <c r="A4" s="122" t="s">
        <v>728</v>
      </c>
      <c r="B4" s="122" t="s">
        <v>729</v>
      </c>
      <c r="C4" s="122" t="s">
        <v>730</v>
      </c>
      <c r="D4" s="137" t="s">
        <v>731</v>
      </c>
      <c r="E4" s="137" t="s">
        <v>732</v>
      </c>
      <c r="F4" s="137" t="s">
        <v>733</v>
      </c>
      <c r="G4" s="137" t="s">
        <v>734</v>
      </c>
      <c r="H4" s="138" t="s">
        <v>735</v>
      </c>
      <c r="I4" s="138" t="s">
        <v>735</v>
      </c>
      <c r="J4" s="138" t="s">
        <v>735</v>
      </c>
      <c r="K4" s="138" t="s">
        <v>735</v>
      </c>
      <c r="L4" s="139" t="s">
        <v>736</v>
      </c>
      <c r="M4" s="139" t="s">
        <v>736</v>
      </c>
      <c r="N4" s="139" t="s">
        <v>736</v>
      </c>
      <c r="O4" s="139" t="s">
        <v>736</v>
      </c>
    </row>
    <row r="5" spans="1:15">
      <c r="A5" s="140" t="s">
        <v>737</v>
      </c>
      <c r="B5" s="140">
        <v>0.33333333333333331</v>
      </c>
      <c r="C5" s="140">
        <v>0.76736111111111116</v>
      </c>
      <c r="D5" s="141">
        <f>+C5-B5</f>
        <v>0.43402777777777785</v>
      </c>
      <c r="E5" s="141">
        <f>+C5-B5+1</f>
        <v>1.4340277777777779</v>
      </c>
      <c r="F5" s="141">
        <f>+IF(B5&gt;C5,C5-B5+1,C5-B5)</f>
        <v>0.43402777777777785</v>
      </c>
      <c r="G5" s="141">
        <f>+MOD(C5-B5,1)</f>
        <v>0.43402777777777785</v>
      </c>
      <c r="H5" s="142">
        <f>+D5*24</f>
        <v>10.416666666666668</v>
      </c>
      <c r="I5" s="142">
        <f t="shared" ref="I5:K5" si="0">+E5*24</f>
        <v>34.416666666666671</v>
      </c>
      <c r="J5" s="142">
        <f t="shared" si="0"/>
        <v>10.416666666666668</v>
      </c>
      <c r="K5" s="142">
        <f t="shared" si="0"/>
        <v>10.416666666666668</v>
      </c>
      <c r="L5" s="143">
        <f>+H5*$F$1</f>
        <v>1250.0000000000002</v>
      </c>
      <c r="M5" s="143">
        <f t="shared" ref="M5:O18" si="1">+I5*$F$1</f>
        <v>4130.0000000000009</v>
      </c>
      <c r="N5" s="143">
        <f t="shared" si="1"/>
        <v>1250.0000000000002</v>
      </c>
      <c r="O5" s="143">
        <f t="shared" si="1"/>
        <v>1250.0000000000002</v>
      </c>
    </row>
    <row r="6" spans="1:15">
      <c r="A6" s="140" t="s">
        <v>738</v>
      </c>
      <c r="B6" s="140">
        <v>0.92708333333333337</v>
      </c>
      <c r="C6" s="140">
        <v>0.75</v>
      </c>
      <c r="D6" s="141">
        <f t="shared" ref="D6:D18" si="2">+C6-B6</f>
        <v>-0.17708333333333337</v>
      </c>
      <c r="E6" s="141">
        <f t="shared" ref="E6:E18" si="3">+C6-B6+1</f>
        <v>0.82291666666666663</v>
      </c>
      <c r="F6" s="141">
        <f t="shared" ref="F6:F18" si="4">+IF(B6&gt;C6,C6-B6+1,C6-B6)</f>
        <v>0.82291666666666663</v>
      </c>
      <c r="G6" s="141">
        <f t="shared" ref="G6:G18" si="5">+MOD(C6-B6,1)</f>
        <v>0.82291666666666663</v>
      </c>
      <c r="H6" s="142">
        <f t="shared" ref="H6:H18" si="6">+D6*24</f>
        <v>-4.2500000000000009</v>
      </c>
      <c r="I6" s="142">
        <f t="shared" ref="I6:I18" si="7">+E6*24</f>
        <v>19.75</v>
      </c>
      <c r="J6" s="142">
        <f t="shared" ref="J6:J18" si="8">+F6*24</f>
        <v>19.75</v>
      </c>
      <c r="K6" s="142">
        <f t="shared" ref="K6:K18" si="9">+G6*24</f>
        <v>19.75</v>
      </c>
      <c r="L6" s="143">
        <f t="shared" ref="L6:L18" si="10">+H6*$F$1</f>
        <v>-510.00000000000011</v>
      </c>
      <c r="M6" s="143">
        <f t="shared" si="1"/>
        <v>2370</v>
      </c>
      <c r="N6" s="143">
        <f t="shared" si="1"/>
        <v>2370</v>
      </c>
      <c r="O6" s="143">
        <f t="shared" si="1"/>
        <v>2370</v>
      </c>
    </row>
    <row r="7" spans="1:15">
      <c r="A7" s="140" t="s">
        <v>739</v>
      </c>
      <c r="B7" s="140">
        <v>0.2986111111111111</v>
      </c>
      <c r="C7" s="140">
        <v>0.6875</v>
      </c>
      <c r="D7" s="141">
        <f t="shared" si="2"/>
        <v>0.3888888888888889</v>
      </c>
      <c r="E7" s="141">
        <f t="shared" si="3"/>
        <v>1.3888888888888888</v>
      </c>
      <c r="F7" s="141">
        <f t="shared" si="4"/>
        <v>0.3888888888888889</v>
      </c>
      <c r="G7" s="141">
        <f t="shared" si="5"/>
        <v>0.3888888888888889</v>
      </c>
      <c r="H7" s="142">
        <f t="shared" si="6"/>
        <v>9.3333333333333339</v>
      </c>
      <c r="I7" s="142">
        <f t="shared" si="7"/>
        <v>33.333333333333329</v>
      </c>
      <c r="J7" s="142">
        <f t="shared" si="8"/>
        <v>9.3333333333333339</v>
      </c>
      <c r="K7" s="142">
        <f t="shared" si="9"/>
        <v>9.3333333333333339</v>
      </c>
      <c r="L7" s="143">
        <f t="shared" si="10"/>
        <v>1120</v>
      </c>
      <c r="M7" s="143">
        <f t="shared" si="1"/>
        <v>3999.9999999999995</v>
      </c>
      <c r="N7" s="143">
        <f t="shared" si="1"/>
        <v>1120</v>
      </c>
      <c r="O7" s="143">
        <f t="shared" si="1"/>
        <v>1120</v>
      </c>
    </row>
    <row r="8" spans="1:15">
      <c r="A8" s="140" t="s">
        <v>740</v>
      </c>
      <c r="B8" s="140">
        <v>0.34930555555555554</v>
      </c>
      <c r="C8" s="140">
        <v>0.77847222222222223</v>
      </c>
      <c r="D8" s="141">
        <f t="shared" si="2"/>
        <v>0.4291666666666667</v>
      </c>
      <c r="E8" s="141">
        <f t="shared" si="3"/>
        <v>1.4291666666666667</v>
      </c>
      <c r="F8" s="141">
        <f t="shared" si="4"/>
        <v>0.4291666666666667</v>
      </c>
      <c r="G8" s="141">
        <f t="shared" si="5"/>
        <v>0.4291666666666667</v>
      </c>
      <c r="H8" s="142">
        <f t="shared" si="6"/>
        <v>10.3</v>
      </c>
      <c r="I8" s="142">
        <f t="shared" si="7"/>
        <v>34.299999999999997</v>
      </c>
      <c r="J8" s="142">
        <f t="shared" si="8"/>
        <v>10.3</v>
      </c>
      <c r="K8" s="142">
        <f t="shared" si="9"/>
        <v>10.3</v>
      </c>
      <c r="L8" s="143">
        <f t="shared" si="10"/>
        <v>1236</v>
      </c>
      <c r="M8" s="143">
        <f t="shared" si="1"/>
        <v>4116</v>
      </c>
      <c r="N8" s="143">
        <f t="shared" si="1"/>
        <v>1236</v>
      </c>
      <c r="O8" s="143">
        <f t="shared" si="1"/>
        <v>1236</v>
      </c>
    </row>
    <row r="9" spans="1:15">
      <c r="A9" s="140" t="s">
        <v>741</v>
      </c>
      <c r="B9" s="140">
        <v>0.34722222222222227</v>
      </c>
      <c r="C9" s="140">
        <v>0.79166666666666663</v>
      </c>
      <c r="D9" s="141">
        <f t="shared" si="2"/>
        <v>0.44444444444444436</v>
      </c>
      <c r="E9" s="141">
        <f t="shared" si="3"/>
        <v>1.4444444444444444</v>
      </c>
      <c r="F9" s="141">
        <f t="shared" si="4"/>
        <v>0.44444444444444436</v>
      </c>
      <c r="G9" s="141">
        <f t="shared" si="5"/>
        <v>0.44444444444444436</v>
      </c>
      <c r="H9" s="142">
        <f t="shared" si="6"/>
        <v>10.666666666666664</v>
      </c>
      <c r="I9" s="142">
        <f t="shared" si="7"/>
        <v>34.666666666666664</v>
      </c>
      <c r="J9" s="142">
        <f t="shared" si="8"/>
        <v>10.666666666666664</v>
      </c>
      <c r="K9" s="142">
        <f t="shared" si="9"/>
        <v>10.666666666666664</v>
      </c>
      <c r="L9" s="143">
        <f t="shared" si="10"/>
        <v>1279.9999999999998</v>
      </c>
      <c r="M9" s="143">
        <f t="shared" si="1"/>
        <v>4160</v>
      </c>
      <c r="N9" s="143">
        <f t="shared" si="1"/>
        <v>1279.9999999999998</v>
      </c>
      <c r="O9" s="143">
        <f t="shared" si="1"/>
        <v>1279.9999999999998</v>
      </c>
    </row>
    <row r="10" spans="1:15">
      <c r="A10" s="140" t="s">
        <v>742</v>
      </c>
      <c r="B10" s="140">
        <v>0.33680555555555558</v>
      </c>
      <c r="C10" s="140">
        <v>0.76388888888888884</v>
      </c>
      <c r="D10" s="141">
        <f t="shared" si="2"/>
        <v>0.42708333333333326</v>
      </c>
      <c r="E10" s="141">
        <f t="shared" si="3"/>
        <v>1.4270833333333333</v>
      </c>
      <c r="F10" s="141">
        <f t="shared" si="4"/>
        <v>0.42708333333333326</v>
      </c>
      <c r="G10" s="141">
        <f t="shared" si="5"/>
        <v>0.42708333333333326</v>
      </c>
      <c r="H10" s="142">
        <f t="shared" si="6"/>
        <v>10.249999999999998</v>
      </c>
      <c r="I10" s="142">
        <f t="shared" si="7"/>
        <v>34.25</v>
      </c>
      <c r="J10" s="142">
        <f t="shared" si="8"/>
        <v>10.249999999999998</v>
      </c>
      <c r="K10" s="142">
        <f t="shared" si="9"/>
        <v>10.249999999999998</v>
      </c>
      <c r="L10" s="143">
        <f t="shared" si="10"/>
        <v>1229.9999999999998</v>
      </c>
      <c r="M10" s="143">
        <f t="shared" si="1"/>
        <v>4110</v>
      </c>
      <c r="N10" s="143">
        <f t="shared" si="1"/>
        <v>1229.9999999999998</v>
      </c>
      <c r="O10" s="143">
        <f t="shared" si="1"/>
        <v>1229.9999999999998</v>
      </c>
    </row>
    <row r="11" spans="1:15">
      <c r="A11" s="140" t="s">
        <v>743</v>
      </c>
      <c r="B11" s="140">
        <v>0.35069444444444442</v>
      </c>
      <c r="C11" s="140">
        <v>0.76388888888888884</v>
      </c>
      <c r="D11" s="141">
        <f t="shared" si="2"/>
        <v>0.41319444444444442</v>
      </c>
      <c r="E11" s="141">
        <f t="shared" si="3"/>
        <v>1.4131944444444444</v>
      </c>
      <c r="F11" s="141">
        <f t="shared" si="4"/>
        <v>0.41319444444444442</v>
      </c>
      <c r="G11" s="141">
        <f t="shared" si="5"/>
        <v>0.41319444444444442</v>
      </c>
      <c r="H11" s="142">
        <f t="shared" si="6"/>
        <v>9.9166666666666661</v>
      </c>
      <c r="I11" s="142">
        <f t="shared" si="7"/>
        <v>33.916666666666664</v>
      </c>
      <c r="J11" s="142">
        <f t="shared" si="8"/>
        <v>9.9166666666666661</v>
      </c>
      <c r="K11" s="142">
        <f t="shared" si="9"/>
        <v>9.9166666666666661</v>
      </c>
      <c r="L11" s="143">
        <f t="shared" si="10"/>
        <v>1190</v>
      </c>
      <c r="M11" s="143">
        <f t="shared" si="1"/>
        <v>4069.9999999999995</v>
      </c>
      <c r="N11" s="143">
        <f t="shared" si="1"/>
        <v>1190</v>
      </c>
      <c r="O11" s="143">
        <f t="shared" si="1"/>
        <v>1190</v>
      </c>
    </row>
    <row r="12" spans="1:15">
      <c r="A12" s="140" t="s">
        <v>744</v>
      </c>
      <c r="B12" s="140">
        <v>0.95833333333333337</v>
      </c>
      <c r="C12" s="140">
        <v>0.25</v>
      </c>
      <c r="D12" s="141">
        <f t="shared" si="2"/>
        <v>-0.70833333333333337</v>
      </c>
      <c r="E12" s="141">
        <f t="shared" si="3"/>
        <v>0.29166666666666663</v>
      </c>
      <c r="F12" s="141">
        <f t="shared" si="4"/>
        <v>0.29166666666666663</v>
      </c>
      <c r="G12" s="141">
        <f t="shared" si="5"/>
        <v>0.29166666666666663</v>
      </c>
      <c r="H12" s="142">
        <f t="shared" si="6"/>
        <v>-17</v>
      </c>
      <c r="I12" s="142">
        <f t="shared" si="7"/>
        <v>6.9999999999999991</v>
      </c>
      <c r="J12" s="142">
        <f t="shared" si="8"/>
        <v>6.9999999999999991</v>
      </c>
      <c r="K12" s="142">
        <f t="shared" si="9"/>
        <v>6.9999999999999991</v>
      </c>
      <c r="L12" s="143">
        <f t="shared" si="10"/>
        <v>-2040</v>
      </c>
      <c r="M12" s="143">
        <f t="shared" si="1"/>
        <v>839.99999999999989</v>
      </c>
      <c r="N12" s="143">
        <f t="shared" si="1"/>
        <v>839.99999999999989</v>
      </c>
      <c r="O12" s="143">
        <f t="shared" si="1"/>
        <v>839.99999999999989</v>
      </c>
    </row>
    <row r="13" spans="1:15">
      <c r="A13" s="140" t="s">
        <v>745</v>
      </c>
      <c r="B13" s="140">
        <v>0.33333333333333331</v>
      </c>
      <c r="C13" s="140">
        <v>0.7583333333333333</v>
      </c>
      <c r="D13" s="141">
        <f t="shared" si="2"/>
        <v>0.42499999999999999</v>
      </c>
      <c r="E13" s="141">
        <f t="shared" si="3"/>
        <v>1.425</v>
      </c>
      <c r="F13" s="141">
        <f t="shared" si="4"/>
        <v>0.42499999999999999</v>
      </c>
      <c r="G13" s="141">
        <f t="shared" si="5"/>
        <v>0.42499999999999999</v>
      </c>
      <c r="H13" s="142">
        <f t="shared" si="6"/>
        <v>10.199999999999999</v>
      </c>
      <c r="I13" s="142">
        <f t="shared" si="7"/>
        <v>34.200000000000003</v>
      </c>
      <c r="J13" s="142">
        <f t="shared" si="8"/>
        <v>10.199999999999999</v>
      </c>
      <c r="K13" s="142">
        <f t="shared" si="9"/>
        <v>10.199999999999999</v>
      </c>
      <c r="L13" s="143">
        <f t="shared" si="10"/>
        <v>1224</v>
      </c>
      <c r="M13" s="143">
        <f t="shared" si="1"/>
        <v>4104</v>
      </c>
      <c r="N13" s="143">
        <f t="shared" si="1"/>
        <v>1224</v>
      </c>
      <c r="O13" s="143">
        <f t="shared" si="1"/>
        <v>1224</v>
      </c>
    </row>
    <row r="14" spans="1:15">
      <c r="A14" s="140" t="s">
        <v>746</v>
      </c>
      <c r="B14" s="140">
        <v>0.34027777777777773</v>
      </c>
      <c r="C14" s="140">
        <v>0.77847222222222223</v>
      </c>
      <c r="D14" s="141">
        <f t="shared" si="2"/>
        <v>0.4381944444444445</v>
      </c>
      <c r="E14" s="141">
        <f t="shared" si="3"/>
        <v>1.4381944444444446</v>
      </c>
      <c r="F14" s="141">
        <f t="shared" si="4"/>
        <v>0.4381944444444445</v>
      </c>
      <c r="G14" s="141">
        <f t="shared" si="5"/>
        <v>0.4381944444444445</v>
      </c>
      <c r="H14" s="142">
        <f t="shared" si="6"/>
        <v>10.516666666666667</v>
      </c>
      <c r="I14" s="142">
        <f t="shared" si="7"/>
        <v>34.516666666666666</v>
      </c>
      <c r="J14" s="142">
        <f t="shared" si="8"/>
        <v>10.516666666666667</v>
      </c>
      <c r="K14" s="142">
        <f t="shared" si="9"/>
        <v>10.516666666666667</v>
      </c>
      <c r="L14" s="143">
        <f t="shared" si="10"/>
        <v>1262</v>
      </c>
      <c r="M14" s="143">
        <f t="shared" si="1"/>
        <v>4142</v>
      </c>
      <c r="N14" s="143">
        <f t="shared" si="1"/>
        <v>1262</v>
      </c>
      <c r="O14" s="143">
        <f t="shared" si="1"/>
        <v>1262</v>
      </c>
    </row>
    <row r="15" spans="1:15">
      <c r="A15" s="140" t="s">
        <v>747</v>
      </c>
      <c r="B15" s="140">
        <v>0.36805555555555558</v>
      </c>
      <c r="C15" s="140">
        <v>0.76388888888888884</v>
      </c>
      <c r="D15" s="141">
        <f t="shared" si="2"/>
        <v>0.39583333333333326</v>
      </c>
      <c r="E15" s="141">
        <f t="shared" si="3"/>
        <v>1.3958333333333333</v>
      </c>
      <c r="F15" s="141">
        <f t="shared" si="4"/>
        <v>0.39583333333333326</v>
      </c>
      <c r="G15" s="141">
        <f t="shared" si="5"/>
        <v>0.39583333333333326</v>
      </c>
      <c r="H15" s="142">
        <f t="shared" si="6"/>
        <v>9.4999999999999982</v>
      </c>
      <c r="I15" s="142">
        <f t="shared" si="7"/>
        <v>33.5</v>
      </c>
      <c r="J15" s="142">
        <f t="shared" si="8"/>
        <v>9.4999999999999982</v>
      </c>
      <c r="K15" s="142">
        <f t="shared" si="9"/>
        <v>9.4999999999999982</v>
      </c>
      <c r="L15" s="143">
        <f t="shared" si="10"/>
        <v>1139.9999999999998</v>
      </c>
      <c r="M15" s="143">
        <f t="shared" si="1"/>
        <v>4020</v>
      </c>
      <c r="N15" s="143">
        <f t="shared" si="1"/>
        <v>1139.9999999999998</v>
      </c>
      <c r="O15" s="143">
        <f t="shared" si="1"/>
        <v>1139.9999999999998</v>
      </c>
    </row>
    <row r="16" spans="1:15">
      <c r="A16" s="140" t="s">
        <v>748</v>
      </c>
      <c r="B16" s="140">
        <v>0.34930555555555554</v>
      </c>
      <c r="C16" s="140">
        <v>0.76388888888888884</v>
      </c>
      <c r="D16" s="141">
        <f t="shared" si="2"/>
        <v>0.4145833333333333</v>
      </c>
      <c r="E16" s="141">
        <f t="shared" si="3"/>
        <v>1.4145833333333333</v>
      </c>
      <c r="F16" s="141">
        <f t="shared" si="4"/>
        <v>0.4145833333333333</v>
      </c>
      <c r="G16" s="141">
        <f t="shared" si="5"/>
        <v>0.4145833333333333</v>
      </c>
      <c r="H16" s="142">
        <f t="shared" si="6"/>
        <v>9.9499999999999993</v>
      </c>
      <c r="I16" s="142">
        <f t="shared" si="7"/>
        <v>33.950000000000003</v>
      </c>
      <c r="J16" s="142">
        <f t="shared" si="8"/>
        <v>9.9499999999999993</v>
      </c>
      <c r="K16" s="142">
        <f t="shared" si="9"/>
        <v>9.9499999999999993</v>
      </c>
      <c r="L16" s="143">
        <f t="shared" si="10"/>
        <v>1194</v>
      </c>
      <c r="M16" s="143">
        <f t="shared" si="1"/>
        <v>4074.0000000000005</v>
      </c>
      <c r="N16" s="143">
        <f t="shared" si="1"/>
        <v>1194</v>
      </c>
      <c r="O16" s="143">
        <f t="shared" si="1"/>
        <v>1194</v>
      </c>
    </row>
    <row r="17" spans="1:15">
      <c r="A17" s="140" t="s">
        <v>749</v>
      </c>
      <c r="B17" s="140">
        <v>0.34722222222222227</v>
      </c>
      <c r="C17" s="140">
        <v>0.25</v>
      </c>
      <c r="D17" s="141">
        <f t="shared" si="2"/>
        <v>-9.7222222222222265E-2</v>
      </c>
      <c r="E17" s="141">
        <f t="shared" si="3"/>
        <v>0.90277777777777768</v>
      </c>
      <c r="F17" s="141">
        <f t="shared" si="4"/>
        <v>0.90277777777777768</v>
      </c>
      <c r="G17" s="141">
        <f t="shared" si="5"/>
        <v>0.90277777777777768</v>
      </c>
      <c r="H17" s="142">
        <f t="shared" si="6"/>
        <v>-2.3333333333333344</v>
      </c>
      <c r="I17" s="142">
        <f t="shared" si="7"/>
        <v>21.666666666666664</v>
      </c>
      <c r="J17" s="142">
        <f t="shared" si="8"/>
        <v>21.666666666666664</v>
      </c>
      <c r="K17" s="142">
        <f t="shared" si="9"/>
        <v>21.666666666666664</v>
      </c>
      <c r="L17" s="143">
        <f t="shared" si="10"/>
        <v>-280.00000000000011</v>
      </c>
      <c r="M17" s="143">
        <f t="shared" si="1"/>
        <v>2599.9999999999995</v>
      </c>
      <c r="N17" s="143">
        <f t="shared" si="1"/>
        <v>2599.9999999999995</v>
      </c>
      <c r="O17" s="143">
        <f t="shared" si="1"/>
        <v>2599.9999999999995</v>
      </c>
    </row>
    <row r="18" spans="1:15">
      <c r="A18" s="140" t="s">
        <v>750</v>
      </c>
      <c r="B18" s="140">
        <v>0.33680555555555558</v>
      </c>
      <c r="C18" s="140">
        <v>0.76388888888888884</v>
      </c>
      <c r="D18" s="141">
        <f t="shared" si="2"/>
        <v>0.42708333333333326</v>
      </c>
      <c r="E18" s="141">
        <f t="shared" si="3"/>
        <v>1.4270833333333333</v>
      </c>
      <c r="F18" s="141">
        <f t="shared" si="4"/>
        <v>0.42708333333333326</v>
      </c>
      <c r="G18" s="141">
        <f t="shared" si="5"/>
        <v>0.42708333333333326</v>
      </c>
      <c r="H18" s="142">
        <f t="shared" si="6"/>
        <v>10.249999999999998</v>
      </c>
      <c r="I18" s="142">
        <f t="shared" si="7"/>
        <v>34.25</v>
      </c>
      <c r="J18" s="142">
        <f t="shared" si="8"/>
        <v>10.249999999999998</v>
      </c>
      <c r="K18" s="142">
        <f t="shared" si="9"/>
        <v>10.249999999999998</v>
      </c>
      <c r="L18" s="143">
        <f t="shared" si="10"/>
        <v>1229.9999999999998</v>
      </c>
      <c r="M18" s="143">
        <f t="shared" si="1"/>
        <v>4110</v>
      </c>
      <c r="N18" s="143">
        <f t="shared" si="1"/>
        <v>1229.9999999999998</v>
      </c>
      <c r="O18" s="143">
        <f t="shared" si="1"/>
        <v>1229.9999999999998</v>
      </c>
    </row>
    <row r="20" spans="1:15">
      <c r="A20" s="137" t="s">
        <v>731</v>
      </c>
      <c r="B20" s="144" t="s">
        <v>751</v>
      </c>
    </row>
    <row r="21" spans="1:15">
      <c r="A21" s="137" t="s">
        <v>732</v>
      </c>
      <c r="B21" s="144" t="s">
        <v>752</v>
      </c>
    </row>
    <row r="22" spans="1:15">
      <c r="A22" s="137" t="s">
        <v>733</v>
      </c>
      <c r="B22" s="144" t="s">
        <v>753</v>
      </c>
    </row>
    <row r="23" spans="1:15">
      <c r="A23" s="137" t="s">
        <v>734</v>
      </c>
      <c r="B23" s="144" t="s">
        <v>754</v>
      </c>
    </row>
    <row r="25" spans="1:15">
      <c r="A25" s="144" t="s">
        <v>755</v>
      </c>
    </row>
    <row r="26" spans="1:15">
      <c r="A26" s="144" t="s">
        <v>756</v>
      </c>
    </row>
  </sheetData>
  <mergeCells count="4">
    <mergeCell ref="D1:E1"/>
    <mergeCell ref="D3:G3"/>
    <mergeCell ref="H3:K3"/>
    <mergeCell ref="L3:O3"/>
  </mergeCells>
  <conditionalFormatting sqref="D5:O18">
    <cfRule type="cellIs" dxfId="19" priority="4" operator="lessThan">
      <formula>0</formula>
    </cfRule>
  </conditionalFormatting>
  <conditionalFormatting sqref="E5:E18">
    <cfRule type="cellIs" dxfId="18" priority="2" operator="notEqual">
      <formula>$F5</formula>
    </cfRule>
  </conditionalFormatting>
  <conditionalFormatting sqref="I5:I18">
    <cfRule type="cellIs" dxfId="17" priority="3" operator="notEqual">
      <formula>$J5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F36"/>
  <sheetViews>
    <sheetView showGridLines="0" zoomScale="160" zoomScaleNormal="160" workbookViewId="0">
      <selection activeCell="D27" sqref="D27"/>
    </sheetView>
  </sheetViews>
  <sheetFormatPr baseColWidth="10" defaultColWidth="13.6640625" defaultRowHeight="14.4"/>
  <cols>
    <col min="1" max="16384" width="13.6640625" style="41"/>
  </cols>
  <sheetData>
    <row r="1" spans="1:6">
      <c r="D1" s="202" t="s">
        <v>724</v>
      </c>
      <c r="E1" s="202"/>
      <c r="F1" s="136">
        <v>120</v>
      </c>
    </row>
    <row r="3" spans="1:6">
      <c r="A3" s="122" t="s">
        <v>728</v>
      </c>
      <c r="B3" s="122" t="s">
        <v>729</v>
      </c>
      <c r="C3" s="122" t="s">
        <v>730</v>
      </c>
      <c r="D3" s="122" t="s">
        <v>757</v>
      </c>
      <c r="E3" s="122" t="s">
        <v>758</v>
      </c>
      <c r="F3" s="122" t="s">
        <v>759</v>
      </c>
    </row>
    <row r="4" spans="1:6">
      <c r="A4" s="140" t="s">
        <v>737</v>
      </c>
      <c r="B4" s="140">
        <v>0.33333333333333331</v>
      </c>
      <c r="C4" s="140">
        <v>0.76736111111111116</v>
      </c>
      <c r="D4" s="145">
        <f>+MOD(C4-B4,1)</f>
        <v>0.43402777777777785</v>
      </c>
      <c r="E4" s="150">
        <f>+D4*24</f>
        <v>10.416666666666668</v>
      </c>
      <c r="F4" s="146">
        <f>+E4*$F$1</f>
        <v>1250.0000000000002</v>
      </c>
    </row>
    <row r="5" spans="1:6">
      <c r="A5" s="140" t="s">
        <v>738</v>
      </c>
      <c r="B5" s="140">
        <v>0.92708333333333337</v>
      </c>
      <c r="C5" s="140">
        <v>0.75</v>
      </c>
      <c r="D5" s="145">
        <f t="shared" ref="D5:D17" si="0">+MOD(C5-B5,1)</f>
        <v>0.82291666666666663</v>
      </c>
      <c r="E5" s="150">
        <f t="shared" ref="E5:E17" si="1">+D5*24</f>
        <v>19.75</v>
      </c>
      <c r="F5" s="146">
        <f t="shared" ref="F5:F17" si="2">+E5*$F$1</f>
        <v>2370</v>
      </c>
    </row>
    <row r="6" spans="1:6">
      <c r="A6" s="140" t="s">
        <v>739</v>
      </c>
      <c r="B6" s="140">
        <v>0.2986111111111111</v>
      </c>
      <c r="C6" s="140">
        <v>0.6875</v>
      </c>
      <c r="D6" s="145">
        <f t="shared" si="0"/>
        <v>0.3888888888888889</v>
      </c>
      <c r="E6" s="150">
        <f t="shared" si="1"/>
        <v>9.3333333333333339</v>
      </c>
      <c r="F6" s="146">
        <f t="shared" si="2"/>
        <v>1120</v>
      </c>
    </row>
    <row r="7" spans="1:6">
      <c r="A7" s="140" t="s">
        <v>740</v>
      </c>
      <c r="B7" s="140">
        <v>0.34930555555555554</v>
      </c>
      <c r="C7" s="140">
        <v>0.77847222222222223</v>
      </c>
      <c r="D7" s="145">
        <f t="shared" si="0"/>
        <v>0.4291666666666667</v>
      </c>
      <c r="E7" s="150">
        <f t="shared" si="1"/>
        <v>10.3</v>
      </c>
      <c r="F7" s="146">
        <f t="shared" si="2"/>
        <v>1236</v>
      </c>
    </row>
    <row r="8" spans="1:6">
      <c r="A8" s="140" t="s">
        <v>741</v>
      </c>
      <c r="B8" s="140">
        <v>0.34722222222222227</v>
      </c>
      <c r="C8" s="140">
        <v>0.79166666666666663</v>
      </c>
      <c r="D8" s="145">
        <f t="shared" si="0"/>
        <v>0.44444444444444436</v>
      </c>
      <c r="E8" s="150">
        <f t="shared" si="1"/>
        <v>10.666666666666664</v>
      </c>
      <c r="F8" s="146">
        <f t="shared" si="2"/>
        <v>1279.9999999999998</v>
      </c>
    </row>
    <row r="9" spans="1:6">
      <c r="A9" s="140" t="s">
        <v>742</v>
      </c>
      <c r="B9" s="140">
        <v>0.33680555555555558</v>
      </c>
      <c r="C9" s="140">
        <v>0.76388888888888884</v>
      </c>
      <c r="D9" s="145">
        <f t="shared" si="0"/>
        <v>0.42708333333333326</v>
      </c>
      <c r="E9" s="150">
        <f t="shared" si="1"/>
        <v>10.249999999999998</v>
      </c>
      <c r="F9" s="146">
        <f t="shared" si="2"/>
        <v>1229.9999999999998</v>
      </c>
    </row>
    <row r="10" spans="1:6">
      <c r="A10" s="140" t="s">
        <v>743</v>
      </c>
      <c r="B10" s="140">
        <v>0.35069444444444442</v>
      </c>
      <c r="C10" s="140">
        <v>0.76388888888888884</v>
      </c>
      <c r="D10" s="145">
        <f t="shared" si="0"/>
        <v>0.41319444444444442</v>
      </c>
      <c r="E10" s="150">
        <f t="shared" si="1"/>
        <v>9.9166666666666661</v>
      </c>
      <c r="F10" s="146">
        <f t="shared" si="2"/>
        <v>1190</v>
      </c>
    </row>
    <row r="11" spans="1:6">
      <c r="A11" s="140" t="s">
        <v>744</v>
      </c>
      <c r="B11" s="140">
        <v>0.95833333333333337</v>
      </c>
      <c r="C11" s="140">
        <v>0.25</v>
      </c>
      <c r="D11" s="145">
        <f t="shared" si="0"/>
        <v>0.29166666666666663</v>
      </c>
      <c r="E11" s="150">
        <f t="shared" si="1"/>
        <v>6.9999999999999991</v>
      </c>
      <c r="F11" s="146">
        <f t="shared" si="2"/>
        <v>839.99999999999989</v>
      </c>
    </row>
    <row r="12" spans="1:6">
      <c r="A12" s="140" t="s">
        <v>745</v>
      </c>
      <c r="B12" s="140">
        <v>0.33333333333333331</v>
      </c>
      <c r="C12" s="140">
        <v>0.7583333333333333</v>
      </c>
      <c r="D12" s="145">
        <f t="shared" si="0"/>
        <v>0.42499999999999999</v>
      </c>
      <c r="E12" s="150">
        <f t="shared" si="1"/>
        <v>10.199999999999999</v>
      </c>
      <c r="F12" s="146">
        <f t="shared" si="2"/>
        <v>1224</v>
      </c>
    </row>
    <row r="13" spans="1:6">
      <c r="A13" s="140" t="s">
        <v>746</v>
      </c>
      <c r="B13" s="140">
        <v>0.34027777777777773</v>
      </c>
      <c r="C13" s="140">
        <v>0.77847222222222223</v>
      </c>
      <c r="D13" s="145">
        <f t="shared" si="0"/>
        <v>0.4381944444444445</v>
      </c>
      <c r="E13" s="150">
        <f t="shared" si="1"/>
        <v>10.516666666666667</v>
      </c>
      <c r="F13" s="146">
        <f t="shared" si="2"/>
        <v>1262</v>
      </c>
    </row>
    <row r="14" spans="1:6">
      <c r="A14" s="140" t="s">
        <v>747</v>
      </c>
      <c r="B14" s="140">
        <v>0.36805555555555558</v>
      </c>
      <c r="C14" s="140">
        <v>0.76388888888888884</v>
      </c>
      <c r="D14" s="145">
        <f t="shared" si="0"/>
        <v>0.39583333333333326</v>
      </c>
      <c r="E14" s="150">
        <f t="shared" si="1"/>
        <v>9.4999999999999982</v>
      </c>
      <c r="F14" s="146">
        <f t="shared" si="2"/>
        <v>1139.9999999999998</v>
      </c>
    </row>
    <row r="15" spans="1:6">
      <c r="A15" s="140" t="s">
        <v>748</v>
      </c>
      <c r="B15" s="140">
        <v>0.34930555555555554</v>
      </c>
      <c r="C15" s="140">
        <v>0.76388888888888884</v>
      </c>
      <c r="D15" s="145">
        <f t="shared" si="0"/>
        <v>0.4145833333333333</v>
      </c>
      <c r="E15" s="150">
        <f t="shared" si="1"/>
        <v>9.9499999999999993</v>
      </c>
      <c r="F15" s="146">
        <f t="shared" si="2"/>
        <v>1194</v>
      </c>
    </row>
    <row r="16" spans="1:6">
      <c r="A16" s="140" t="s">
        <v>749</v>
      </c>
      <c r="B16" s="140">
        <v>0.34722222222222227</v>
      </c>
      <c r="C16" s="140">
        <v>0.25</v>
      </c>
      <c r="D16" s="145">
        <f t="shared" si="0"/>
        <v>0.90277777777777768</v>
      </c>
      <c r="E16" s="150">
        <f t="shared" si="1"/>
        <v>21.666666666666664</v>
      </c>
      <c r="F16" s="146">
        <f t="shared" si="2"/>
        <v>2599.9999999999995</v>
      </c>
    </row>
    <row r="17" spans="1:6">
      <c r="A17" s="140" t="s">
        <v>750</v>
      </c>
      <c r="B17" s="140">
        <v>0.33680555555555558</v>
      </c>
      <c r="C17" s="140">
        <v>0.76388888888888884</v>
      </c>
      <c r="D17" s="145">
        <f t="shared" si="0"/>
        <v>0.42708333333333326</v>
      </c>
      <c r="E17" s="150">
        <f t="shared" si="1"/>
        <v>10.249999999999998</v>
      </c>
      <c r="F17" s="146">
        <f t="shared" si="2"/>
        <v>1229.9999999999998</v>
      </c>
    </row>
    <row r="21" spans="1:6">
      <c r="A21" s="206" t="s">
        <v>762</v>
      </c>
      <c r="B21" s="206"/>
      <c r="C21" s="206"/>
      <c r="D21" s="206"/>
      <c r="E21" s="206"/>
      <c r="F21" s="206"/>
    </row>
    <row r="22" spans="1:6">
      <c r="A22" s="122" t="s">
        <v>728</v>
      </c>
      <c r="B22" s="122" t="s">
        <v>729</v>
      </c>
      <c r="C22" s="122" t="s">
        <v>730</v>
      </c>
      <c r="D22" s="122" t="s">
        <v>757</v>
      </c>
      <c r="E22" s="122" t="s">
        <v>758</v>
      </c>
      <c r="F22" s="122" t="s">
        <v>759</v>
      </c>
    </row>
    <row r="23" spans="1:6">
      <c r="A23" s="140" t="s">
        <v>737</v>
      </c>
      <c r="B23" s="140">
        <v>0.33333333333333331</v>
      </c>
      <c r="C23" s="140">
        <v>0.76736111111111116</v>
      </c>
      <c r="D23" s="145">
        <f>IF(C23&gt;B23,C23-B23,C23-B23+1)</f>
        <v>0.43402777777777785</v>
      </c>
      <c r="E23" s="150">
        <f>+D23*24</f>
        <v>10.416666666666668</v>
      </c>
      <c r="F23" s="146">
        <f>+E23*$F$1</f>
        <v>1250.0000000000002</v>
      </c>
    </row>
    <row r="24" spans="1:6">
      <c r="A24" s="140" t="s">
        <v>738</v>
      </c>
      <c r="B24" s="140">
        <v>0.92708333333333337</v>
      </c>
      <c r="C24" s="140">
        <v>0.75</v>
      </c>
      <c r="D24" s="145">
        <f t="shared" ref="D24:D36" si="3">IF(C24&gt;B24,C24-B24,C24-B24+1)</f>
        <v>0.82291666666666663</v>
      </c>
      <c r="E24" s="150">
        <f t="shared" ref="E24:E36" si="4">+D24*24</f>
        <v>19.75</v>
      </c>
      <c r="F24" s="146">
        <f t="shared" ref="F24:F36" si="5">+E24*$F$1</f>
        <v>2370</v>
      </c>
    </row>
    <row r="25" spans="1:6">
      <c r="A25" s="140" t="s">
        <v>739</v>
      </c>
      <c r="B25" s="140">
        <v>0.2986111111111111</v>
      </c>
      <c r="C25" s="140">
        <v>0.6875</v>
      </c>
      <c r="D25" s="145">
        <f t="shared" si="3"/>
        <v>0.3888888888888889</v>
      </c>
      <c r="E25" s="150">
        <f t="shared" si="4"/>
        <v>9.3333333333333339</v>
      </c>
      <c r="F25" s="146">
        <f t="shared" si="5"/>
        <v>1120</v>
      </c>
    </row>
    <row r="26" spans="1:6">
      <c r="A26" s="140" t="s">
        <v>740</v>
      </c>
      <c r="B26" s="140">
        <v>0.34930555555555554</v>
      </c>
      <c r="C26" s="140">
        <v>0.77847222222222223</v>
      </c>
      <c r="D26" s="145">
        <f t="shared" si="3"/>
        <v>0.4291666666666667</v>
      </c>
      <c r="E26" s="150">
        <f t="shared" si="4"/>
        <v>10.3</v>
      </c>
      <c r="F26" s="146">
        <f t="shared" si="5"/>
        <v>1236</v>
      </c>
    </row>
    <row r="27" spans="1:6">
      <c r="A27" s="140" t="s">
        <v>741</v>
      </c>
      <c r="B27" s="140">
        <v>0.34722222222222227</v>
      </c>
      <c r="C27" s="140">
        <v>0.79166666666666663</v>
      </c>
      <c r="D27" s="145">
        <f t="shared" si="3"/>
        <v>0.44444444444444436</v>
      </c>
      <c r="E27" s="150">
        <f t="shared" si="4"/>
        <v>10.666666666666664</v>
      </c>
      <c r="F27" s="146">
        <f t="shared" si="5"/>
        <v>1279.9999999999998</v>
      </c>
    </row>
    <row r="28" spans="1:6">
      <c r="A28" s="140" t="s">
        <v>742</v>
      </c>
      <c r="B28" s="140">
        <v>0.33680555555555558</v>
      </c>
      <c r="C28" s="140">
        <v>0.76388888888888884</v>
      </c>
      <c r="D28" s="145">
        <f t="shared" si="3"/>
        <v>0.42708333333333326</v>
      </c>
      <c r="E28" s="150">
        <f t="shared" si="4"/>
        <v>10.249999999999998</v>
      </c>
      <c r="F28" s="146">
        <f t="shared" si="5"/>
        <v>1229.9999999999998</v>
      </c>
    </row>
    <row r="29" spans="1:6">
      <c r="A29" s="140" t="s">
        <v>743</v>
      </c>
      <c r="B29" s="140">
        <v>0.35069444444444442</v>
      </c>
      <c r="C29" s="140">
        <v>0.76388888888888884</v>
      </c>
      <c r="D29" s="145">
        <f t="shared" si="3"/>
        <v>0.41319444444444442</v>
      </c>
      <c r="E29" s="150">
        <f t="shared" si="4"/>
        <v>9.9166666666666661</v>
      </c>
      <c r="F29" s="146">
        <f t="shared" si="5"/>
        <v>1190</v>
      </c>
    </row>
    <row r="30" spans="1:6">
      <c r="A30" s="140" t="s">
        <v>744</v>
      </c>
      <c r="B30" s="140">
        <v>0.95833333333333337</v>
      </c>
      <c r="C30" s="140">
        <v>0.25</v>
      </c>
      <c r="D30" s="145">
        <f t="shared" si="3"/>
        <v>0.29166666666666663</v>
      </c>
      <c r="E30" s="150">
        <f t="shared" si="4"/>
        <v>6.9999999999999991</v>
      </c>
      <c r="F30" s="146">
        <f t="shared" si="5"/>
        <v>839.99999999999989</v>
      </c>
    </row>
    <row r="31" spans="1:6">
      <c r="A31" s="140" t="s">
        <v>745</v>
      </c>
      <c r="B31" s="140">
        <v>0.33333333333333331</v>
      </c>
      <c r="C31" s="140">
        <v>0.7583333333333333</v>
      </c>
      <c r="D31" s="145">
        <f t="shared" si="3"/>
        <v>0.42499999999999999</v>
      </c>
      <c r="E31" s="150">
        <f t="shared" si="4"/>
        <v>10.199999999999999</v>
      </c>
      <c r="F31" s="146">
        <f t="shared" si="5"/>
        <v>1224</v>
      </c>
    </row>
    <row r="32" spans="1:6">
      <c r="A32" s="140" t="s">
        <v>746</v>
      </c>
      <c r="B32" s="140">
        <v>0.34027777777777773</v>
      </c>
      <c r="C32" s="140">
        <v>0.77847222222222223</v>
      </c>
      <c r="D32" s="145">
        <f t="shared" si="3"/>
        <v>0.4381944444444445</v>
      </c>
      <c r="E32" s="150">
        <f t="shared" si="4"/>
        <v>10.516666666666667</v>
      </c>
      <c r="F32" s="146">
        <f t="shared" si="5"/>
        <v>1262</v>
      </c>
    </row>
    <row r="33" spans="1:6">
      <c r="A33" s="140" t="s">
        <v>747</v>
      </c>
      <c r="B33" s="140">
        <v>0.36805555555555558</v>
      </c>
      <c r="C33" s="140">
        <v>0.76388888888888884</v>
      </c>
      <c r="D33" s="145">
        <f t="shared" si="3"/>
        <v>0.39583333333333326</v>
      </c>
      <c r="E33" s="150">
        <f t="shared" si="4"/>
        <v>9.4999999999999982</v>
      </c>
      <c r="F33" s="146">
        <f t="shared" si="5"/>
        <v>1139.9999999999998</v>
      </c>
    </row>
    <row r="34" spans="1:6">
      <c r="A34" s="140" t="s">
        <v>748</v>
      </c>
      <c r="B34" s="140">
        <v>0.34930555555555554</v>
      </c>
      <c r="C34" s="140">
        <v>0.76388888888888884</v>
      </c>
      <c r="D34" s="145">
        <f t="shared" si="3"/>
        <v>0.4145833333333333</v>
      </c>
      <c r="E34" s="150">
        <f t="shared" si="4"/>
        <v>9.9499999999999993</v>
      </c>
      <c r="F34" s="146">
        <f t="shared" si="5"/>
        <v>1194</v>
      </c>
    </row>
    <row r="35" spans="1:6">
      <c r="A35" s="140" t="s">
        <v>749</v>
      </c>
      <c r="B35" s="140">
        <v>0.34722222222222227</v>
      </c>
      <c r="C35" s="140">
        <v>0.25</v>
      </c>
      <c r="D35" s="145">
        <f t="shared" si="3"/>
        <v>0.90277777777777768</v>
      </c>
      <c r="E35" s="150">
        <f t="shared" si="4"/>
        <v>21.666666666666664</v>
      </c>
      <c r="F35" s="146">
        <f t="shared" si="5"/>
        <v>2599.9999999999995</v>
      </c>
    </row>
    <row r="36" spans="1:6">
      <c r="A36" s="140" t="s">
        <v>750</v>
      </c>
      <c r="B36" s="140">
        <v>0.33680555555555558</v>
      </c>
      <c r="C36" s="140">
        <v>0.76388888888888884</v>
      </c>
      <c r="D36" s="145">
        <f t="shared" si="3"/>
        <v>0.42708333333333326</v>
      </c>
      <c r="E36" s="150">
        <f t="shared" si="4"/>
        <v>10.249999999999998</v>
      </c>
      <c r="F36" s="146">
        <f t="shared" si="5"/>
        <v>1229.9999999999998</v>
      </c>
    </row>
  </sheetData>
  <mergeCells count="2">
    <mergeCell ref="D1:E1"/>
    <mergeCell ref="A21:F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tabColor rgb="FF00B050"/>
  </sheetPr>
  <dimension ref="A1:P36"/>
  <sheetViews>
    <sheetView showGridLines="0" zoomScaleNormal="100" workbookViewId="0">
      <selection activeCell="H5" sqref="H5"/>
    </sheetView>
  </sheetViews>
  <sheetFormatPr baseColWidth="10" defaultColWidth="11.44140625" defaultRowHeight="14.4"/>
  <cols>
    <col min="1" max="1" width="6.44140625" style="21" customWidth="1"/>
    <col min="2" max="2" width="33.88671875" style="21" customWidth="1"/>
    <col min="3" max="3" width="18.109375" style="21" bestFit="1" customWidth="1"/>
    <col min="4" max="4" width="11.6640625" style="21" customWidth="1"/>
    <col min="5" max="5" width="11.44140625" style="21"/>
    <col min="6" max="6" width="10.5546875" style="21" bestFit="1" customWidth="1"/>
    <col min="7" max="7" width="11.44140625" style="21"/>
    <col min="8" max="8" width="10.33203125" style="21" customWidth="1"/>
    <col min="9" max="9" width="11.44140625" style="21"/>
    <col min="10" max="10" width="2.5546875" style="21" customWidth="1"/>
    <col min="11" max="16384" width="11.44140625" style="21"/>
  </cols>
  <sheetData>
    <row r="1" spans="1:16">
      <c r="A1" s="207" t="s">
        <v>25</v>
      </c>
      <c r="B1" s="207"/>
      <c r="C1" s="207"/>
      <c r="D1" s="207"/>
      <c r="E1" s="207"/>
      <c r="F1" s="207"/>
      <c r="G1" s="207"/>
      <c r="H1" s="207"/>
      <c r="I1" s="207"/>
    </row>
    <row r="2" spans="1:16">
      <c r="A2" s="207" t="s">
        <v>26</v>
      </c>
      <c r="B2" s="207"/>
      <c r="C2" s="207"/>
      <c r="D2" s="207"/>
      <c r="E2" s="207"/>
      <c r="F2" s="207"/>
      <c r="G2" s="207"/>
      <c r="H2" s="207"/>
      <c r="I2" s="207"/>
    </row>
    <row r="3" spans="1:16" ht="6" customHeight="1">
      <c r="A3" s="22"/>
      <c r="B3" s="22"/>
      <c r="C3" s="22"/>
      <c r="D3" s="22"/>
      <c r="E3" s="22"/>
      <c r="F3" s="22"/>
      <c r="G3" s="22"/>
      <c r="H3" s="22"/>
      <c r="I3" s="22"/>
    </row>
    <row r="4" spans="1:16" s="121" customFormat="1" ht="27.6">
      <c r="A4" s="119" t="s">
        <v>27</v>
      </c>
      <c r="B4" s="119" t="s">
        <v>28</v>
      </c>
      <c r="C4" s="119" t="s">
        <v>29</v>
      </c>
      <c r="D4" s="120" t="s">
        <v>30</v>
      </c>
      <c r="E4" s="120" t="s">
        <v>31</v>
      </c>
      <c r="F4" s="120" t="s">
        <v>32</v>
      </c>
      <c r="G4" s="120" t="s">
        <v>33</v>
      </c>
      <c r="H4" s="120" t="s">
        <v>34</v>
      </c>
      <c r="I4" s="120" t="s">
        <v>35</v>
      </c>
      <c r="L4" s="40"/>
      <c r="M4" s="40"/>
      <c r="N4" s="40"/>
      <c r="O4" s="40"/>
      <c r="P4" s="40"/>
    </row>
    <row r="5" spans="1:16" customFormat="1">
      <c r="A5" s="1">
        <v>1</v>
      </c>
      <c r="B5" s="1" t="s">
        <v>36</v>
      </c>
      <c r="C5" s="1" t="s">
        <v>37</v>
      </c>
      <c r="D5" s="43">
        <v>30826</v>
      </c>
      <c r="E5" s="43">
        <v>34990</v>
      </c>
      <c r="F5" s="152">
        <f ca="1">ROUNDDOWN(((TODAY()-D5)/365),0)</f>
        <v>41</v>
      </c>
      <c r="G5" s="43">
        <f>+D5+65*365</f>
        <v>54551</v>
      </c>
      <c r="H5" s="152">
        <f ca="1">65-F5</f>
        <v>24</v>
      </c>
      <c r="I5" s="151">
        <f ca="1">+(TODAY()-E5)/365</f>
        <v>30.542465753424658</v>
      </c>
    </row>
    <row r="6" spans="1:16" customFormat="1">
      <c r="A6" s="1">
        <v>2</v>
      </c>
      <c r="B6" s="1" t="s">
        <v>38</v>
      </c>
      <c r="C6" s="1" t="s">
        <v>39</v>
      </c>
      <c r="D6" s="43">
        <v>24033</v>
      </c>
      <c r="E6" s="43">
        <v>31518</v>
      </c>
      <c r="F6" s="152">
        <f t="shared" ref="F6:F20" ca="1" si="0">ROUNDDOWN(((TODAY()-D6)/365),0)</f>
        <v>60</v>
      </c>
      <c r="G6" s="43">
        <f t="shared" ref="G6:G20" si="1">+D6+65*365</f>
        <v>47758</v>
      </c>
      <c r="H6" s="152">
        <f t="shared" ref="H6:H20" ca="1" si="2">65-F6</f>
        <v>5</v>
      </c>
      <c r="I6" s="151">
        <f t="shared" ref="I6:I20" ca="1" si="3">+(TODAY()-E6)/365</f>
        <v>40.054794520547944</v>
      </c>
    </row>
    <row r="7" spans="1:16" customFormat="1">
      <c r="A7" s="1">
        <v>3</v>
      </c>
      <c r="B7" s="1" t="s">
        <v>40</v>
      </c>
      <c r="C7" s="1" t="s">
        <v>41</v>
      </c>
      <c r="D7" s="43">
        <v>31809</v>
      </c>
      <c r="E7" s="43">
        <v>31974</v>
      </c>
      <c r="F7" s="152">
        <f t="shared" ca="1" si="0"/>
        <v>39</v>
      </c>
      <c r="G7" s="43">
        <f t="shared" si="1"/>
        <v>55534</v>
      </c>
      <c r="H7" s="152">
        <f t="shared" ca="1" si="2"/>
        <v>26</v>
      </c>
      <c r="I7" s="151">
        <f t="shared" ca="1" si="3"/>
        <v>38.805479452054797</v>
      </c>
    </row>
    <row r="8" spans="1:16" customFormat="1">
      <c r="A8" s="1">
        <v>4</v>
      </c>
      <c r="B8" s="1" t="s">
        <v>42</v>
      </c>
      <c r="C8" s="1" t="s">
        <v>43</v>
      </c>
      <c r="D8" s="43">
        <v>29853</v>
      </c>
      <c r="E8" s="43">
        <v>33026</v>
      </c>
      <c r="F8" s="152">
        <f t="shared" ca="1" si="0"/>
        <v>44</v>
      </c>
      <c r="G8" s="43">
        <f t="shared" si="1"/>
        <v>53578</v>
      </c>
      <c r="H8" s="152">
        <f t="shared" ca="1" si="2"/>
        <v>21</v>
      </c>
      <c r="I8" s="151">
        <f t="shared" ca="1" si="3"/>
        <v>35.923287671232877</v>
      </c>
    </row>
    <row r="9" spans="1:16" customFormat="1">
      <c r="A9" s="1">
        <v>5</v>
      </c>
      <c r="B9" s="1" t="s">
        <v>44</v>
      </c>
      <c r="C9" s="1" t="s">
        <v>41</v>
      </c>
      <c r="D9" s="43">
        <v>31109</v>
      </c>
      <c r="E9" s="43">
        <v>32717</v>
      </c>
      <c r="F9" s="152">
        <f t="shared" ca="1" si="0"/>
        <v>41</v>
      </c>
      <c r="G9" s="43">
        <f t="shared" si="1"/>
        <v>54834</v>
      </c>
      <c r="H9" s="152">
        <f t="shared" ca="1" si="2"/>
        <v>24</v>
      </c>
      <c r="I9" s="151">
        <f t="shared" ca="1" si="3"/>
        <v>36.769863013698632</v>
      </c>
    </row>
    <row r="10" spans="1:16" customFormat="1">
      <c r="A10" s="1">
        <v>6</v>
      </c>
      <c r="B10" s="1" t="s">
        <v>45</v>
      </c>
      <c r="C10" s="1" t="s">
        <v>46</v>
      </c>
      <c r="D10" s="43">
        <v>28552</v>
      </c>
      <c r="E10" s="43">
        <v>33424</v>
      </c>
      <c r="F10" s="152">
        <f t="shared" ca="1" si="0"/>
        <v>48</v>
      </c>
      <c r="G10" s="43">
        <f t="shared" si="1"/>
        <v>52277</v>
      </c>
      <c r="H10" s="152">
        <f t="shared" ca="1" si="2"/>
        <v>17</v>
      </c>
      <c r="I10" s="151">
        <f t="shared" ca="1" si="3"/>
        <v>34.832876712328769</v>
      </c>
    </row>
    <row r="11" spans="1:16" customFormat="1">
      <c r="A11" s="1">
        <v>7</v>
      </c>
      <c r="B11" s="1" t="s">
        <v>47</v>
      </c>
      <c r="C11" s="1" t="s">
        <v>48</v>
      </c>
      <c r="D11" s="43">
        <v>27074</v>
      </c>
      <c r="E11" s="43">
        <v>32983</v>
      </c>
      <c r="F11" s="152">
        <f t="shared" ca="1" si="0"/>
        <v>52</v>
      </c>
      <c r="G11" s="43">
        <f t="shared" si="1"/>
        <v>50799</v>
      </c>
      <c r="H11" s="152">
        <f t="shared" ca="1" si="2"/>
        <v>13</v>
      </c>
      <c r="I11" s="151">
        <f t="shared" ca="1" si="3"/>
        <v>36.041095890410958</v>
      </c>
    </row>
    <row r="12" spans="1:16" customFormat="1">
      <c r="A12" s="1">
        <v>8</v>
      </c>
      <c r="B12" s="1" t="s">
        <v>49</v>
      </c>
      <c r="C12" s="1" t="s">
        <v>41</v>
      </c>
      <c r="D12" s="43">
        <v>30785</v>
      </c>
      <c r="E12" s="43">
        <v>32948</v>
      </c>
      <c r="F12" s="152">
        <f t="shared" ca="1" si="0"/>
        <v>42</v>
      </c>
      <c r="G12" s="43">
        <f t="shared" si="1"/>
        <v>54510</v>
      </c>
      <c r="H12" s="152">
        <f t="shared" ca="1" si="2"/>
        <v>23</v>
      </c>
      <c r="I12" s="151">
        <f t="shared" ca="1" si="3"/>
        <v>36.136986301369866</v>
      </c>
    </row>
    <row r="13" spans="1:16" customFormat="1" ht="15.75" customHeight="1">
      <c r="A13" s="1">
        <v>9</v>
      </c>
      <c r="B13" s="1" t="s">
        <v>50</v>
      </c>
      <c r="C13" s="1" t="s">
        <v>51</v>
      </c>
      <c r="D13" s="43">
        <v>30535</v>
      </c>
      <c r="E13" s="43">
        <v>33399</v>
      </c>
      <c r="F13" s="152">
        <f t="shared" ca="1" si="0"/>
        <v>42</v>
      </c>
      <c r="G13" s="43">
        <f t="shared" si="1"/>
        <v>54260</v>
      </c>
      <c r="H13" s="152">
        <f t="shared" ca="1" si="2"/>
        <v>23</v>
      </c>
      <c r="I13" s="151">
        <f t="shared" ca="1" si="3"/>
        <v>34.901369863013699</v>
      </c>
    </row>
    <row r="14" spans="1:16" customFormat="1">
      <c r="A14" s="1">
        <v>10</v>
      </c>
      <c r="B14" s="1" t="s">
        <v>52</v>
      </c>
      <c r="C14" s="1" t="s">
        <v>41</v>
      </c>
      <c r="D14" s="43">
        <v>30934</v>
      </c>
      <c r="E14" s="43">
        <v>33038</v>
      </c>
      <c r="F14" s="152">
        <f t="shared" ca="1" si="0"/>
        <v>41</v>
      </c>
      <c r="G14" s="43">
        <f t="shared" si="1"/>
        <v>54659</v>
      </c>
      <c r="H14" s="152">
        <f t="shared" ca="1" si="2"/>
        <v>24</v>
      </c>
      <c r="I14" s="151">
        <f t="shared" ca="1" si="3"/>
        <v>35.890410958904113</v>
      </c>
    </row>
    <row r="15" spans="1:16" customFormat="1">
      <c r="A15" s="1">
        <v>11</v>
      </c>
      <c r="B15" s="1" t="s">
        <v>53</v>
      </c>
      <c r="C15" s="1" t="s">
        <v>54</v>
      </c>
      <c r="D15" s="43">
        <v>27631</v>
      </c>
      <c r="E15" s="43">
        <v>31853</v>
      </c>
      <c r="F15" s="152">
        <f t="shared" ca="1" si="0"/>
        <v>50</v>
      </c>
      <c r="G15" s="43">
        <f t="shared" si="1"/>
        <v>51356</v>
      </c>
      <c r="H15" s="152">
        <f t="shared" ca="1" si="2"/>
        <v>15</v>
      </c>
      <c r="I15" s="151">
        <f t="shared" ca="1" si="3"/>
        <v>39.136986301369866</v>
      </c>
    </row>
    <row r="16" spans="1:16" customFormat="1">
      <c r="A16" s="1">
        <v>12</v>
      </c>
      <c r="B16" s="1" t="s">
        <v>55</v>
      </c>
      <c r="C16" s="1" t="s">
        <v>56</v>
      </c>
      <c r="D16" s="43">
        <v>26665</v>
      </c>
      <c r="E16" s="43">
        <v>35289</v>
      </c>
      <c r="F16" s="152">
        <f t="shared" ca="1" si="0"/>
        <v>53</v>
      </c>
      <c r="G16" s="43">
        <f t="shared" si="1"/>
        <v>50390</v>
      </c>
      <c r="H16" s="152">
        <f t="shared" ca="1" si="2"/>
        <v>12</v>
      </c>
      <c r="I16" s="151">
        <f t="shared" ca="1" si="3"/>
        <v>29.723287671232878</v>
      </c>
    </row>
    <row r="17" spans="1:9" customFormat="1">
      <c r="A17" s="1">
        <v>13</v>
      </c>
      <c r="B17" s="1" t="s">
        <v>57</v>
      </c>
      <c r="C17" s="1" t="s">
        <v>48</v>
      </c>
      <c r="D17" s="43">
        <v>30401</v>
      </c>
      <c r="E17" s="43">
        <v>32579</v>
      </c>
      <c r="F17" s="152">
        <f t="shared" ca="1" si="0"/>
        <v>43</v>
      </c>
      <c r="G17" s="43">
        <f t="shared" si="1"/>
        <v>54126</v>
      </c>
      <c r="H17" s="152">
        <f t="shared" ca="1" si="2"/>
        <v>22</v>
      </c>
      <c r="I17" s="151">
        <f t="shared" ca="1" si="3"/>
        <v>37.147945205479452</v>
      </c>
    </row>
    <row r="18" spans="1:9" customFormat="1">
      <c r="A18" s="1">
        <v>14</v>
      </c>
      <c r="B18" s="1" t="s">
        <v>58</v>
      </c>
      <c r="C18" s="1" t="s">
        <v>59</v>
      </c>
      <c r="D18" s="43">
        <v>27302</v>
      </c>
      <c r="E18" s="43">
        <v>31516</v>
      </c>
      <c r="F18" s="152">
        <f t="shared" ca="1" si="0"/>
        <v>51</v>
      </c>
      <c r="G18" s="43">
        <f t="shared" si="1"/>
        <v>51027</v>
      </c>
      <c r="H18" s="152">
        <f t="shared" ca="1" si="2"/>
        <v>14</v>
      </c>
      <c r="I18" s="151">
        <f t="shared" ca="1" si="3"/>
        <v>40.060273972602737</v>
      </c>
    </row>
    <row r="19" spans="1:9" customFormat="1">
      <c r="A19" s="1">
        <v>15</v>
      </c>
      <c r="B19" s="1" t="s">
        <v>60</v>
      </c>
      <c r="C19" s="1" t="s">
        <v>61</v>
      </c>
      <c r="D19" s="43">
        <v>30520</v>
      </c>
      <c r="E19" s="43">
        <v>33277</v>
      </c>
      <c r="F19" s="152">
        <f t="shared" ca="1" si="0"/>
        <v>42</v>
      </c>
      <c r="G19" s="43">
        <f t="shared" si="1"/>
        <v>54245</v>
      </c>
      <c r="H19" s="152">
        <f t="shared" ca="1" si="2"/>
        <v>23</v>
      </c>
      <c r="I19" s="151">
        <f t="shared" ca="1" si="3"/>
        <v>35.235616438356168</v>
      </c>
    </row>
    <row r="20" spans="1:9" customFormat="1">
      <c r="A20" s="1">
        <v>16</v>
      </c>
      <c r="B20" s="1" t="s">
        <v>62</v>
      </c>
      <c r="C20" s="1" t="s">
        <v>41</v>
      </c>
      <c r="D20" s="43">
        <v>26027</v>
      </c>
      <c r="E20" s="43">
        <v>31517</v>
      </c>
      <c r="F20" s="152">
        <f t="shared" ca="1" si="0"/>
        <v>55</v>
      </c>
      <c r="G20" s="43">
        <f t="shared" si="1"/>
        <v>49752</v>
      </c>
      <c r="H20" s="152">
        <f t="shared" ca="1" si="2"/>
        <v>10</v>
      </c>
      <c r="I20" s="151">
        <f t="shared" ca="1" si="3"/>
        <v>40.057534246575344</v>
      </c>
    </row>
    <row r="21" spans="1:9" ht="12.75" customHeight="1"/>
    <row r="22" spans="1:9" ht="18">
      <c r="B22" s="25" t="s">
        <v>63</v>
      </c>
      <c r="C22" s="26"/>
      <c r="E22" s="27"/>
      <c r="F22" s="28"/>
      <c r="H22" s="28"/>
      <c r="I22" s="29"/>
    </row>
    <row r="23" spans="1:9">
      <c r="B23" s="24" t="s">
        <v>64</v>
      </c>
      <c r="C23" s="23">
        <f>+COUNTIFS(C5:C20,C14)</f>
        <v>5</v>
      </c>
      <c r="D23" s="27"/>
      <c r="E23" s="27"/>
      <c r="F23" s="28"/>
      <c r="H23" s="28"/>
      <c r="I23" s="29"/>
    </row>
    <row r="24" spans="1:9">
      <c r="B24" s="24" t="s">
        <v>65</v>
      </c>
      <c r="C24" s="23">
        <f>+COUNTA(B5:B20)</f>
        <v>16</v>
      </c>
      <c r="D24" s="27"/>
      <c r="E24" s="27"/>
      <c r="F24" s="28"/>
      <c r="H24" s="28"/>
      <c r="I24" s="29"/>
    </row>
    <row r="25" spans="1:9">
      <c r="B25" s="24" t="s">
        <v>66</v>
      </c>
      <c r="C25" s="23">
        <f ca="1">+MAX(F5:F20)</f>
        <v>60</v>
      </c>
      <c r="D25" s="27"/>
      <c r="E25" s="27"/>
      <c r="F25" s="28"/>
      <c r="H25" s="28"/>
      <c r="I25" s="29"/>
    </row>
    <row r="26" spans="1:9">
      <c r="B26" s="24" t="s">
        <v>67</v>
      </c>
      <c r="C26" s="153">
        <f ca="1">+MIN(F5:F20)</f>
        <v>39</v>
      </c>
      <c r="D26" s="27"/>
      <c r="E26" s="27"/>
      <c r="F26" s="28"/>
      <c r="H26" s="28"/>
      <c r="I26" s="29"/>
    </row>
    <row r="27" spans="1:9">
      <c r="B27" s="24" t="s">
        <v>68</v>
      </c>
      <c r="C27" s="23">
        <f ca="1">+MODE(F5:F20)</f>
        <v>41</v>
      </c>
      <c r="D27" s="27"/>
      <c r="E27" s="27"/>
      <c r="F27" s="28"/>
      <c r="H27" s="28"/>
      <c r="I27" s="29"/>
    </row>
    <row r="28" spans="1:9">
      <c r="B28" s="24" t="str">
        <f ca="1">+"Veces que se repite Edad de "&amp;C27</f>
        <v>Veces que se repite Edad de 41</v>
      </c>
      <c r="C28" s="23">
        <f ca="1">+COUNTIFS(F5:F20,F5)</f>
        <v>3</v>
      </c>
    </row>
    <row r="29" spans="1:9" ht="7.5" customHeight="1"/>
    <row r="30" spans="1:9" ht="7.5" customHeight="1"/>
    <row r="31" spans="1:9">
      <c r="E31" s="30" t="s">
        <v>69</v>
      </c>
    </row>
    <row r="32" spans="1:9" ht="7.5" customHeight="1"/>
    <row r="34" ht="7.5" customHeight="1"/>
    <row r="36" ht="8.25" customHeight="1"/>
  </sheetData>
  <mergeCells count="2">
    <mergeCell ref="A1:I1"/>
    <mergeCell ref="A2:I2"/>
  </mergeCells>
  <pageMargins left="0.56999999999999995" right="0" top="0.32" bottom="0.36" header="0" footer="0"/>
  <pageSetup paperSize="9" scale="95" orientation="landscape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rgb="FF00B050"/>
  </sheetPr>
  <dimension ref="A1:O26"/>
  <sheetViews>
    <sheetView showGridLines="0" topLeftCell="A44" workbookViewId="0"/>
  </sheetViews>
  <sheetFormatPr baseColWidth="10" defaultColWidth="11.44140625" defaultRowHeight="15.6"/>
  <cols>
    <col min="1" max="1" width="19.88671875" style="31" customWidth="1"/>
    <col min="2" max="3" width="11.44140625" style="31"/>
    <col min="4" max="4" width="10.5546875" style="31" bestFit="1" customWidth="1"/>
    <col min="5" max="6" width="19" style="31" customWidth="1"/>
    <col min="7" max="7" width="7.109375" style="31" customWidth="1"/>
    <col min="8" max="8" width="12.5546875" style="31" customWidth="1"/>
    <col min="9" max="9" width="21.109375" style="31" customWidth="1"/>
    <col min="10" max="10" width="12.5546875" style="31" customWidth="1"/>
    <col min="11" max="11" width="12.5546875" style="31" hidden="1" customWidth="1"/>
    <col min="12" max="12" width="32.88671875" style="31" hidden="1" customWidth="1"/>
    <col min="13" max="13" width="28.88671875" style="31" hidden="1" customWidth="1"/>
    <col min="14" max="14" width="12.5546875" style="31" hidden="1" customWidth="1"/>
    <col min="15" max="15" width="4.5546875" style="31" customWidth="1"/>
    <col min="16" max="16384" width="11.44140625" style="31"/>
  </cols>
  <sheetData>
    <row r="1" spans="1:15">
      <c r="E1" s="32" t="s">
        <v>70</v>
      </c>
      <c r="F1" s="32" t="s">
        <v>71</v>
      </c>
    </row>
    <row r="2" spans="1:15">
      <c r="A2" s="33" t="s">
        <v>72</v>
      </c>
      <c r="B2" s="33" t="s">
        <v>73</v>
      </c>
      <c r="C2" s="33" t="s">
        <v>74</v>
      </c>
      <c r="D2" s="33" t="s">
        <v>75</v>
      </c>
      <c r="E2" s="33" t="s">
        <v>76</v>
      </c>
      <c r="F2" s="33" t="s">
        <v>76</v>
      </c>
    </row>
    <row r="3" spans="1:15">
      <c r="A3" s="31" t="s">
        <v>77</v>
      </c>
      <c r="B3" s="34">
        <v>44774</v>
      </c>
      <c r="C3" s="34">
        <v>44804</v>
      </c>
      <c r="D3" s="154">
        <f>+C3-B3+1</f>
        <v>31</v>
      </c>
      <c r="E3" s="35">
        <f>+NETWORKDAYS(B3,C3,$H$4:$I$15)</f>
        <v>18</v>
      </c>
      <c r="F3" s="35">
        <f>+NETWORKDAYS.INTL(B3,C3,11,H4:I15)</f>
        <v>22</v>
      </c>
      <c r="H3" s="36" t="s">
        <v>78</v>
      </c>
      <c r="I3" s="36" t="s">
        <v>79</v>
      </c>
      <c r="L3" s="37"/>
      <c r="M3" s="37"/>
      <c r="N3" s="37"/>
      <c r="O3" s="37"/>
    </row>
    <row r="4" spans="1:15" ht="17.399999999999999">
      <c r="A4" s="31" t="s">
        <v>80</v>
      </c>
      <c r="B4" s="34">
        <v>44786</v>
      </c>
      <c r="C4" s="34">
        <v>44818</v>
      </c>
      <c r="D4" s="154">
        <f t="shared" ref="D4:D9" si="0">+C4-B4+1</f>
        <v>33</v>
      </c>
      <c r="E4" s="35">
        <f t="shared" ref="E4:E9" si="1">+NETWORKDAYS(B4,C4,$H$4:$I$15)</f>
        <v>18</v>
      </c>
      <c r="F4" s="35">
        <f t="shared" ref="F4:F9" si="2">+NETWORKDAYS.INTL(B4,C4,11,H5:I16)</f>
        <v>24</v>
      </c>
      <c r="H4" s="34">
        <v>44562</v>
      </c>
      <c r="I4" s="34">
        <v>44789</v>
      </c>
      <c r="L4" s="38" t="s">
        <v>81</v>
      </c>
      <c r="M4" s="38" t="s">
        <v>82</v>
      </c>
      <c r="N4" s="37"/>
      <c r="O4" s="37"/>
    </row>
    <row r="5" spans="1:15" ht="17.399999999999999">
      <c r="A5" s="31" t="s">
        <v>83</v>
      </c>
      <c r="B5" s="34">
        <v>44775</v>
      </c>
      <c r="C5" s="34">
        <v>44805</v>
      </c>
      <c r="D5" s="154">
        <f t="shared" si="0"/>
        <v>31</v>
      </c>
      <c r="E5" s="35">
        <f t="shared" si="1"/>
        <v>18</v>
      </c>
      <c r="F5" s="35">
        <f t="shared" si="2"/>
        <v>24</v>
      </c>
      <c r="H5" s="34">
        <v>44567</v>
      </c>
      <c r="I5" s="34">
        <v>44790</v>
      </c>
      <c r="L5" s="39" t="s">
        <v>84</v>
      </c>
      <c r="M5" s="38" t="s">
        <v>85</v>
      </c>
      <c r="N5" s="37"/>
      <c r="O5" s="37"/>
    </row>
    <row r="6" spans="1:15" ht="17.399999999999999">
      <c r="A6" s="31" t="s">
        <v>86</v>
      </c>
      <c r="B6" s="34">
        <v>44778</v>
      </c>
      <c r="C6" s="34">
        <v>44816</v>
      </c>
      <c r="D6" s="154">
        <f t="shared" si="0"/>
        <v>39</v>
      </c>
      <c r="E6" s="35">
        <f t="shared" si="1"/>
        <v>22</v>
      </c>
      <c r="F6" s="35">
        <f t="shared" si="2"/>
        <v>31</v>
      </c>
      <c r="H6" s="34">
        <v>44620</v>
      </c>
      <c r="I6" s="34">
        <v>44791</v>
      </c>
      <c r="L6" s="39">
        <v>2</v>
      </c>
      <c r="M6" s="38" t="s">
        <v>87</v>
      </c>
      <c r="N6" s="37"/>
      <c r="O6" s="37"/>
    </row>
    <row r="7" spans="1:15" ht="17.399999999999999">
      <c r="A7" s="31" t="s">
        <v>88</v>
      </c>
      <c r="B7" s="34">
        <v>44791</v>
      </c>
      <c r="C7" s="34">
        <v>44804</v>
      </c>
      <c r="D7" s="154">
        <f t="shared" si="0"/>
        <v>14</v>
      </c>
      <c r="E7" s="35">
        <f t="shared" si="1"/>
        <v>8</v>
      </c>
      <c r="F7" s="35">
        <f t="shared" si="2"/>
        <v>12</v>
      </c>
      <c r="H7" s="34">
        <v>44665</v>
      </c>
      <c r="I7" s="34">
        <v>44792</v>
      </c>
      <c r="L7" s="39">
        <v>3</v>
      </c>
      <c r="M7" s="38" t="s">
        <v>89</v>
      </c>
      <c r="N7" s="37"/>
      <c r="O7" s="37"/>
    </row>
    <row r="8" spans="1:15" ht="17.399999999999999">
      <c r="A8" s="31" t="s">
        <v>90</v>
      </c>
      <c r="B8" s="34">
        <v>44783</v>
      </c>
      <c r="C8" s="34">
        <v>44803</v>
      </c>
      <c r="D8" s="154">
        <f t="shared" si="0"/>
        <v>21</v>
      </c>
      <c r="E8" s="35">
        <f t="shared" si="1"/>
        <v>10</v>
      </c>
      <c r="F8" s="35">
        <f t="shared" si="2"/>
        <v>17</v>
      </c>
      <c r="H8" s="34">
        <v>44666</v>
      </c>
      <c r="I8" s="34"/>
      <c r="L8" s="39">
        <v>4</v>
      </c>
      <c r="M8" s="38" t="s">
        <v>91</v>
      </c>
      <c r="N8" s="37"/>
      <c r="O8" s="37"/>
    </row>
    <row r="9" spans="1:15" ht="17.399999999999999">
      <c r="A9" s="31" t="s">
        <v>92</v>
      </c>
      <c r="B9" s="34">
        <v>44793</v>
      </c>
      <c r="C9" s="34">
        <v>44824</v>
      </c>
      <c r="D9" s="154">
        <f t="shared" si="0"/>
        <v>32</v>
      </c>
      <c r="E9" s="35">
        <f t="shared" si="1"/>
        <v>22</v>
      </c>
      <c r="F9" s="35">
        <f t="shared" si="2"/>
        <v>27</v>
      </c>
      <c r="H9" s="34">
        <v>44683</v>
      </c>
      <c r="I9" s="34"/>
      <c r="L9" s="39">
        <v>5</v>
      </c>
      <c r="M9" s="38" t="s">
        <v>93</v>
      </c>
      <c r="N9" s="37"/>
      <c r="O9" s="37"/>
    </row>
    <row r="10" spans="1:15" ht="17.399999999999999">
      <c r="H10" s="34">
        <v>44788</v>
      </c>
      <c r="I10" s="34"/>
      <c r="L10" s="39">
        <v>6</v>
      </c>
      <c r="M10" s="38" t="s">
        <v>94</v>
      </c>
      <c r="N10" s="37"/>
      <c r="O10" s="37"/>
    </row>
    <row r="11" spans="1:15" ht="17.399999999999999">
      <c r="H11" s="34">
        <v>44846</v>
      </c>
      <c r="I11" s="34"/>
      <c r="L11" s="39">
        <v>7</v>
      </c>
      <c r="M11" s="38" t="s">
        <v>95</v>
      </c>
      <c r="N11" s="37"/>
      <c r="O11" s="37"/>
    </row>
    <row r="12" spans="1:15" ht="17.399999999999999">
      <c r="H12" s="34">
        <v>44866</v>
      </c>
      <c r="I12" s="34"/>
      <c r="L12" s="39">
        <v>11</v>
      </c>
      <c r="M12" s="38" t="s">
        <v>96</v>
      </c>
      <c r="N12" s="37"/>
      <c r="O12" s="37"/>
    </row>
    <row r="13" spans="1:15" ht="17.399999999999999">
      <c r="H13" s="34">
        <v>44901</v>
      </c>
      <c r="I13" s="34"/>
      <c r="L13" s="39">
        <v>12</v>
      </c>
      <c r="M13" s="38" t="s">
        <v>97</v>
      </c>
      <c r="N13" s="37"/>
      <c r="O13" s="37"/>
    </row>
    <row r="14" spans="1:15" ht="17.399999999999999">
      <c r="H14" s="34">
        <v>44903</v>
      </c>
      <c r="I14" s="34"/>
      <c r="L14" s="39">
        <v>13</v>
      </c>
      <c r="M14" s="38" t="s">
        <v>98</v>
      </c>
      <c r="N14" s="37"/>
      <c r="O14" s="37"/>
    </row>
    <row r="15" spans="1:15" ht="17.399999999999999">
      <c r="H15" s="34">
        <v>44921</v>
      </c>
      <c r="L15" s="39">
        <v>14</v>
      </c>
      <c r="M15" s="38" t="s">
        <v>99</v>
      </c>
      <c r="N15" s="37"/>
      <c r="O15" s="37"/>
    </row>
    <row r="16" spans="1:15" ht="17.399999999999999">
      <c r="H16" s="34"/>
      <c r="L16" s="39">
        <v>15</v>
      </c>
      <c r="M16" s="38" t="s">
        <v>100</v>
      </c>
      <c r="N16" s="37"/>
      <c r="O16" s="37"/>
    </row>
    <row r="17" spans="8:15" ht="17.399999999999999">
      <c r="H17" s="34"/>
      <c r="L17" s="39">
        <v>16</v>
      </c>
      <c r="M17" s="38" t="s">
        <v>101</v>
      </c>
      <c r="N17" s="37"/>
      <c r="O17" s="37"/>
    </row>
    <row r="18" spans="8:15" ht="17.399999999999999">
      <c r="H18" s="34"/>
      <c r="L18" s="39">
        <v>17</v>
      </c>
      <c r="M18" s="38" t="s">
        <v>102</v>
      </c>
      <c r="N18" s="37"/>
      <c r="O18" s="37"/>
    </row>
    <row r="19" spans="8:15">
      <c r="H19" s="34"/>
      <c r="L19" s="37"/>
      <c r="M19" s="37"/>
      <c r="N19" s="37"/>
      <c r="O19" s="37"/>
    </row>
    <row r="20" spans="8:15">
      <c r="H20" s="34"/>
      <c r="L20" s="37"/>
      <c r="M20" s="37"/>
      <c r="N20" s="37"/>
      <c r="O20" s="37"/>
    </row>
    <row r="21" spans="8:15">
      <c r="H21" s="34"/>
      <c r="L21" s="37"/>
      <c r="M21" s="37"/>
      <c r="N21" s="37"/>
      <c r="O21" s="37"/>
    </row>
    <row r="22" spans="8:15">
      <c r="H22" s="34"/>
      <c r="L22" s="37"/>
      <c r="M22" s="37"/>
      <c r="N22" s="37"/>
      <c r="O22" s="37"/>
    </row>
    <row r="23" spans="8:15">
      <c r="H23" s="34"/>
      <c r="L23" s="37"/>
      <c r="M23" s="37"/>
      <c r="N23" s="37"/>
      <c r="O23" s="37"/>
    </row>
    <row r="24" spans="8:15">
      <c r="H24" s="34"/>
      <c r="L24" s="37"/>
      <c r="M24" s="37"/>
      <c r="N24" s="37"/>
      <c r="O24" s="37"/>
    </row>
    <row r="25" spans="8:15">
      <c r="H25" s="34"/>
    </row>
    <row r="26" spans="8:15">
      <c r="H26" s="34"/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tabColor rgb="FF0070C0"/>
  </sheetPr>
  <dimension ref="A1:P32"/>
  <sheetViews>
    <sheetView showGridLines="0" topLeftCell="A4" zoomScaleNormal="100" workbookViewId="0">
      <selection activeCell="J3" sqref="J3"/>
    </sheetView>
  </sheetViews>
  <sheetFormatPr baseColWidth="10" defaultRowHeight="14.4"/>
  <cols>
    <col min="1" max="1" width="3.44140625" customWidth="1"/>
    <col min="2" max="3" width="13.5546875" customWidth="1"/>
    <col min="4" max="4" width="19.33203125" customWidth="1"/>
    <col min="5" max="5" width="3.109375" customWidth="1"/>
    <col min="6" max="12" width="6.88671875" style="41" customWidth="1"/>
    <col min="13" max="13" width="3.88671875" customWidth="1"/>
    <col min="15" max="15" width="2.44140625" customWidth="1"/>
    <col min="16" max="16" width="13" customWidth="1"/>
    <col min="17" max="17" width="2.88671875" customWidth="1"/>
    <col min="18" max="18" width="4.88671875" customWidth="1"/>
    <col min="19" max="19" width="15.44140625" customWidth="1"/>
    <col min="20" max="20" width="73.88671875" bestFit="1" customWidth="1"/>
  </cols>
  <sheetData>
    <row r="1" spans="1:16">
      <c r="B1" s="209" t="s">
        <v>103</v>
      </c>
      <c r="C1" s="209"/>
      <c r="D1" s="209"/>
      <c r="F1" s="210" t="s">
        <v>109</v>
      </c>
      <c r="G1" s="211"/>
      <c r="H1" s="211"/>
      <c r="I1" s="211"/>
      <c r="J1" s="211"/>
      <c r="K1" s="211"/>
      <c r="L1" s="212"/>
      <c r="N1" s="54" t="s">
        <v>116</v>
      </c>
      <c r="P1" s="54" t="s">
        <v>117</v>
      </c>
    </row>
    <row r="2" spans="1:16">
      <c r="B2" s="42" t="s">
        <v>104</v>
      </c>
      <c r="C2" s="42" t="s">
        <v>105</v>
      </c>
      <c r="D2" s="42" t="s">
        <v>106</v>
      </c>
      <c r="F2" s="47" t="s">
        <v>108</v>
      </c>
      <c r="G2" s="45" t="s">
        <v>110</v>
      </c>
      <c r="H2" s="45" t="s">
        <v>111</v>
      </c>
      <c r="I2" s="45" t="s">
        <v>112</v>
      </c>
      <c r="J2" s="45" t="s">
        <v>113</v>
      </c>
      <c r="K2" s="45" t="s">
        <v>114</v>
      </c>
      <c r="L2" s="48" t="s">
        <v>115</v>
      </c>
      <c r="N2" s="43">
        <v>44562</v>
      </c>
      <c r="P2" s="43">
        <v>44672</v>
      </c>
    </row>
    <row r="3" spans="1:16">
      <c r="A3" s="55">
        <v>1</v>
      </c>
      <c r="B3" s="43">
        <v>44652</v>
      </c>
      <c r="C3" s="43">
        <v>44681</v>
      </c>
      <c r="D3" s="1">
        <f>+NETWORKDAYS(B3,C3)</f>
        <v>21</v>
      </c>
      <c r="F3" s="49"/>
      <c r="G3" s="46"/>
      <c r="H3" s="46"/>
      <c r="I3" s="46"/>
      <c r="J3" s="20">
        <v>1</v>
      </c>
      <c r="K3" s="20">
        <v>2</v>
      </c>
      <c r="L3" s="50">
        <v>3</v>
      </c>
      <c r="N3" s="43">
        <v>44620</v>
      </c>
      <c r="P3" s="43">
        <v>44673</v>
      </c>
    </row>
    <row r="4" spans="1:16">
      <c r="A4" s="55">
        <v>2</v>
      </c>
      <c r="B4" s="43">
        <v>44652</v>
      </c>
      <c r="C4" s="43">
        <v>44681</v>
      </c>
      <c r="D4" s="1">
        <f>+NETWORKDAYS(B4,C4,N2:P17)</f>
        <v>11</v>
      </c>
      <c r="F4" s="51">
        <f>+L3+1</f>
        <v>4</v>
      </c>
      <c r="G4" s="20">
        <f>+F4+1</f>
        <v>5</v>
      </c>
      <c r="H4" s="20">
        <f t="shared" ref="H4:L4" si="0">+G4+1</f>
        <v>6</v>
      </c>
      <c r="I4" s="20">
        <f t="shared" si="0"/>
        <v>7</v>
      </c>
      <c r="J4" s="20">
        <f t="shared" si="0"/>
        <v>8</v>
      </c>
      <c r="K4" s="20">
        <f t="shared" si="0"/>
        <v>9</v>
      </c>
      <c r="L4" s="50">
        <f t="shared" si="0"/>
        <v>10</v>
      </c>
      <c r="N4" s="43">
        <v>44621</v>
      </c>
      <c r="P4" s="43">
        <v>44674</v>
      </c>
    </row>
    <row r="5" spans="1:16">
      <c r="B5" s="209" t="s">
        <v>107</v>
      </c>
      <c r="C5" s="209"/>
      <c r="D5" s="209"/>
      <c r="F5" s="51">
        <f t="shared" ref="F5:F7" si="1">+L4+1</f>
        <v>11</v>
      </c>
      <c r="G5" s="20">
        <f t="shared" ref="G5:L5" si="2">+F5+1</f>
        <v>12</v>
      </c>
      <c r="H5" s="20">
        <f t="shared" si="2"/>
        <v>13</v>
      </c>
      <c r="I5" s="20">
        <f t="shared" si="2"/>
        <v>14</v>
      </c>
      <c r="J5" s="20">
        <f t="shared" si="2"/>
        <v>15</v>
      </c>
      <c r="K5" s="20">
        <f t="shared" si="2"/>
        <v>16</v>
      </c>
      <c r="L5" s="50">
        <f t="shared" si="2"/>
        <v>17</v>
      </c>
      <c r="N5" s="43">
        <v>44665</v>
      </c>
      <c r="P5" s="43">
        <v>44675</v>
      </c>
    </row>
    <row r="6" spans="1:16">
      <c r="B6" s="42" t="s">
        <v>104</v>
      </c>
      <c r="C6" s="42" t="s">
        <v>105</v>
      </c>
      <c r="D6" s="42" t="s">
        <v>106</v>
      </c>
      <c r="F6" s="51">
        <f t="shared" si="1"/>
        <v>18</v>
      </c>
      <c r="G6" s="20">
        <f t="shared" ref="G6:L6" si="3">+F6+1</f>
        <v>19</v>
      </c>
      <c r="H6" s="20">
        <f t="shared" si="3"/>
        <v>20</v>
      </c>
      <c r="I6" s="20">
        <f t="shared" si="3"/>
        <v>21</v>
      </c>
      <c r="J6" s="20">
        <f t="shared" si="3"/>
        <v>22</v>
      </c>
      <c r="K6" s="20">
        <f t="shared" si="3"/>
        <v>23</v>
      </c>
      <c r="L6" s="50">
        <f t="shared" si="3"/>
        <v>24</v>
      </c>
      <c r="N6" s="43">
        <v>44666</v>
      </c>
      <c r="P6" s="43">
        <v>44676</v>
      </c>
    </row>
    <row r="7" spans="1:16" ht="15" thickBot="1">
      <c r="A7" s="55">
        <v>3</v>
      </c>
      <c r="B7" s="43">
        <v>44662</v>
      </c>
      <c r="C7" s="43">
        <v>44692</v>
      </c>
      <c r="D7" s="1">
        <f>+NETWORKDAYS.INTL(B7,C7,1)</f>
        <v>23</v>
      </c>
      <c r="F7" s="52">
        <f t="shared" si="1"/>
        <v>25</v>
      </c>
      <c r="G7" s="53">
        <f t="shared" ref="G7:K7" si="4">+F7+1</f>
        <v>26</v>
      </c>
      <c r="H7" s="53">
        <f t="shared" si="4"/>
        <v>27</v>
      </c>
      <c r="I7" s="53">
        <f t="shared" si="4"/>
        <v>28</v>
      </c>
      <c r="J7" s="53">
        <f t="shared" si="4"/>
        <v>29</v>
      </c>
      <c r="K7" s="53">
        <f t="shared" si="4"/>
        <v>30</v>
      </c>
      <c r="L7" s="46"/>
      <c r="N7" s="43">
        <v>44670</v>
      </c>
      <c r="P7" s="43">
        <v>44677</v>
      </c>
    </row>
    <row r="8" spans="1:16" ht="15" thickBot="1">
      <c r="A8" s="55">
        <v>4</v>
      </c>
      <c r="B8" s="43">
        <v>44662</v>
      </c>
      <c r="C8" s="43">
        <v>44692</v>
      </c>
      <c r="D8" s="1">
        <f>+NETWORKDAYS.INTL(B8,C8,1,$N$2:$P$17)</f>
        <v>13</v>
      </c>
      <c r="N8" s="43">
        <v>44682</v>
      </c>
      <c r="P8" s="43">
        <v>44678</v>
      </c>
    </row>
    <row r="9" spans="1:16">
      <c r="A9" s="55">
        <v>5</v>
      </c>
      <c r="B9" s="43">
        <v>44662</v>
      </c>
      <c r="C9" s="43">
        <v>44692</v>
      </c>
      <c r="D9" s="1">
        <f>+NETWORKDAYS.INTL(B9,C9,11,$N$2:$P$17)</f>
        <v>15</v>
      </c>
      <c r="F9" s="210" t="s">
        <v>109</v>
      </c>
      <c r="G9" s="211"/>
      <c r="H9" s="211"/>
      <c r="I9" s="211"/>
      <c r="J9" s="211"/>
      <c r="K9" s="211"/>
      <c r="L9" s="212"/>
      <c r="N9" s="43">
        <v>44736</v>
      </c>
      <c r="P9" s="43">
        <v>44679</v>
      </c>
    </row>
    <row r="10" spans="1:16">
      <c r="F10" s="47" t="s">
        <v>108</v>
      </c>
      <c r="G10" s="45" t="s">
        <v>110</v>
      </c>
      <c r="H10" s="45" t="s">
        <v>111</v>
      </c>
      <c r="I10" s="45" t="s">
        <v>112</v>
      </c>
      <c r="J10" s="45" t="s">
        <v>113</v>
      </c>
      <c r="K10" s="45" t="s">
        <v>114</v>
      </c>
      <c r="L10" s="48" t="s">
        <v>115</v>
      </c>
      <c r="N10" s="43">
        <v>44747</v>
      </c>
      <c r="P10" s="43">
        <v>44680</v>
      </c>
    </row>
    <row r="11" spans="1:16">
      <c r="F11" s="49"/>
      <c r="G11" s="46"/>
      <c r="H11" s="46"/>
      <c r="I11" s="46"/>
      <c r="J11" s="46"/>
      <c r="K11" s="46"/>
      <c r="L11" s="50">
        <v>1</v>
      </c>
      <c r="N11" s="43">
        <v>44766</v>
      </c>
      <c r="P11" s="43">
        <v>44681</v>
      </c>
    </row>
    <row r="12" spans="1:16">
      <c r="B12" s="209" t="s">
        <v>119</v>
      </c>
      <c r="C12" s="209"/>
      <c r="D12" s="209"/>
      <c r="F12" s="51">
        <f>+L11+1</f>
        <v>2</v>
      </c>
      <c r="G12" s="20">
        <f>+F12+1</f>
        <v>3</v>
      </c>
      <c r="H12" s="20">
        <f t="shared" ref="H12:L12" si="5">+G12+1</f>
        <v>4</v>
      </c>
      <c r="I12" s="20">
        <f t="shared" si="5"/>
        <v>5</v>
      </c>
      <c r="J12" s="20">
        <f t="shared" si="5"/>
        <v>6</v>
      </c>
      <c r="K12" s="20">
        <f t="shared" si="5"/>
        <v>7</v>
      </c>
      <c r="L12" s="50">
        <f t="shared" si="5"/>
        <v>8</v>
      </c>
      <c r="N12" s="43">
        <v>44846</v>
      </c>
    </row>
    <row r="13" spans="1:16">
      <c r="B13" s="42" t="s">
        <v>104</v>
      </c>
      <c r="C13" s="42" t="s">
        <v>105</v>
      </c>
      <c r="D13" s="42" t="s">
        <v>106</v>
      </c>
      <c r="F13" s="51">
        <f t="shared" ref="F13:F14" si="6">+L12+1</f>
        <v>9</v>
      </c>
      <c r="G13" s="20">
        <f t="shared" ref="G13:L13" si="7">+F13+1</f>
        <v>10</v>
      </c>
      <c r="H13" s="20">
        <f t="shared" si="7"/>
        <v>11</v>
      </c>
      <c r="I13" s="20">
        <f t="shared" si="7"/>
        <v>12</v>
      </c>
      <c r="J13" s="20">
        <f t="shared" si="7"/>
        <v>13</v>
      </c>
      <c r="K13" s="20">
        <f t="shared" si="7"/>
        <v>14</v>
      </c>
      <c r="L13" s="50">
        <f t="shared" si="7"/>
        <v>15</v>
      </c>
      <c r="N13" s="43">
        <v>44919</v>
      </c>
      <c r="P13" s="43">
        <v>44697</v>
      </c>
    </row>
    <row r="14" spans="1:16">
      <c r="A14" s="55">
        <v>6</v>
      </c>
      <c r="B14" s="43">
        <v>44682</v>
      </c>
      <c r="C14" s="44">
        <v>15</v>
      </c>
      <c r="D14" s="43">
        <f>+WORKDAY(B14,C14)</f>
        <v>44701</v>
      </c>
      <c r="F14" s="51">
        <f t="shared" si="6"/>
        <v>16</v>
      </c>
      <c r="G14" s="20">
        <f t="shared" ref="G14:L15" si="8">+F14+1</f>
        <v>17</v>
      </c>
      <c r="H14" s="20">
        <f t="shared" si="8"/>
        <v>18</v>
      </c>
      <c r="I14" s="20">
        <f t="shared" si="8"/>
        <v>19</v>
      </c>
      <c r="J14" s="20">
        <f t="shared" si="8"/>
        <v>20</v>
      </c>
      <c r="K14" s="20">
        <f t="shared" si="8"/>
        <v>21</v>
      </c>
      <c r="L14" s="50">
        <f t="shared" si="8"/>
        <v>22</v>
      </c>
      <c r="N14" s="43">
        <v>44920</v>
      </c>
      <c r="P14" s="43">
        <v>44698</v>
      </c>
    </row>
    <row r="15" spans="1:16">
      <c r="A15" s="55">
        <v>7</v>
      </c>
      <c r="B15" s="43">
        <v>44682</v>
      </c>
      <c r="C15" s="44">
        <v>15</v>
      </c>
      <c r="D15" s="43">
        <f>+WORKDAY(B15,C15,N3:P18)</f>
        <v>44708</v>
      </c>
      <c r="F15" s="51">
        <f t="shared" ref="F15" si="9">+L14+1</f>
        <v>23</v>
      </c>
      <c r="G15" s="20">
        <f t="shared" si="8"/>
        <v>24</v>
      </c>
      <c r="H15" s="20">
        <f t="shared" si="8"/>
        <v>25</v>
      </c>
      <c r="I15" s="20">
        <f t="shared" si="8"/>
        <v>26</v>
      </c>
      <c r="J15" s="20">
        <f t="shared" si="8"/>
        <v>27</v>
      </c>
      <c r="K15" s="20">
        <f t="shared" si="8"/>
        <v>28</v>
      </c>
      <c r="L15" s="50">
        <f t="shared" si="8"/>
        <v>29</v>
      </c>
      <c r="N15" s="43">
        <v>44926</v>
      </c>
      <c r="P15" s="43">
        <v>44699</v>
      </c>
    </row>
    <row r="16" spans="1:16" ht="15" thickBot="1">
      <c r="B16" s="209" t="s">
        <v>118</v>
      </c>
      <c r="C16" s="209"/>
      <c r="D16" s="209"/>
      <c r="F16" s="52">
        <f>+L15+1</f>
        <v>30</v>
      </c>
      <c r="G16" s="53">
        <f t="shared" ref="G16" si="10">+F16+1</f>
        <v>31</v>
      </c>
      <c r="H16" s="46"/>
      <c r="I16" s="46"/>
      <c r="J16" s="46"/>
      <c r="K16" s="46"/>
      <c r="L16" s="46"/>
      <c r="P16" s="43">
        <v>44700</v>
      </c>
    </row>
    <row r="17" spans="1:16">
      <c r="B17" s="42" t="s">
        <v>104</v>
      </c>
      <c r="C17" s="42" t="s">
        <v>105</v>
      </c>
      <c r="D17" s="42" t="s">
        <v>105</v>
      </c>
      <c r="P17" s="43">
        <v>44701</v>
      </c>
    </row>
    <row r="18" spans="1:16">
      <c r="A18" s="55">
        <v>8</v>
      </c>
      <c r="B18" s="43">
        <v>44682</v>
      </c>
      <c r="C18" s="44">
        <v>15</v>
      </c>
      <c r="D18" s="43">
        <f>+WORKDAY.INTL(B18,C18,1,N2:P17)</f>
        <v>44708</v>
      </c>
    </row>
    <row r="19" spans="1:16">
      <c r="A19" s="55">
        <v>9</v>
      </c>
      <c r="B19" s="43">
        <v>44682</v>
      </c>
      <c r="C19" s="44">
        <v>15</v>
      </c>
      <c r="D19" s="43">
        <f>+WORKDAY.INTL(B19,C19,11,N2:P17)</f>
        <v>44705</v>
      </c>
    </row>
    <row r="20" spans="1:16">
      <c r="A20" s="55">
        <v>10</v>
      </c>
      <c r="B20" s="43">
        <v>44682</v>
      </c>
      <c r="C20" s="44">
        <v>15</v>
      </c>
      <c r="D20" s="43">
        <f>+WORKDAY.INTL(B20,C20,11,N2:N15)</f>
        <v>44699</v>
      </c>
    </row>
    <row r="22" spans="1:16">
      <c r="A22" s="56" t="s">
        <v>120</v>
      </c>
      <c r="B22" s="56" t="s">
        <v>0</v>
      </c>
      <c r="C22" s="213" t="s">
        <v>125</v>
      </c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</row>
    <row r="23" spans="1:16">
      <c r="A23" s="20">
        <v>1</v>
      </c>
      <c r="B23" s="1" t="s">
        <v>122</v>
      </c>
      <c r="C23" s="208" t="s">
        <v>126</v>
      </c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</row>
    <row r="24" spans="1:16">
      <c r="A24" s="20">
        <v>2</v>
      </c>
      <c r="B24" s="1" t="s">
        <v>122</v>
      </c>
      <c r="C24" s="208" t="s">
        <v>127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</row>
    <row r="25" spans="1:16">
      <c r="A25" s="20">
        <v>3</v>
      </c>
      <c r="B25" s="1" t="s">
        <v>124</v>
      </c>
      <c r="C25" s="208" t="s">
        <v>128</v>
      </c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</row>
    <row r="26" spans="1:16">
      <c r="A26" s="20">
        <v>4</v>
      </c>
      <c r="B26" s="1" t="s">
        <v>124</v>
      </c>
      <c r="C26" s="208" t="s">
        <v>129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</row>
    <row r="27" spans="1:16">
      <c r="A27" s="20">
        <v>5</v>
      </c>
      <c r="B27" s="1" t="s">
        <v>124</v>
      </c>
      <c r="C27" s="208" t="s">
        <v>130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</row>
    <row r="28" spans="1:16">
      <c r="A28" s="20">
        <v>6</v>
      </c>
      <c r="B28" s="1" t="s">
        <v>121</v>
      </c>
      <c r="C28" s="208" t="s">
        <v>690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</row>
    <row r="29" spans="1:16">
      <c r="A29" s="20">
        <v>7</v>
      </c>
      <c r="B29" s="1" t="s">
        <v>121</v>
      </c>
      <c r="C29" s="208" t="s">
        <v>691</v>
      </c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</row>
    <row r="30" spans="1:16">
      <c r="A30" s="20">
        <v>8</v>
      </c>
      <c r="B30" s="1" t="s">
        <v>123</v>
      </c>
      <c r="C30" s="208" t="s">
        <v>692</v>
      </c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</row>
    <row r="31" spans="1:16">
      <c r="A31" s="20">
        <v>9</v>
      </c>
      <c r="B31" s="1" t="s">
        <v>123</v>
      </c>
      <c r="C31" s="208" t="s">
        <v>693</v>
      </c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</row>
    <row r="32" spans="1:16">
      <c r="A32" s="20">
        <v>10</v>
      </c>
      <c r="B32" s="1" t="s">
        <v>123</v>
      </c>
      <c r="C32" s="208" t="s">
        <v>131</v>
      </c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</row>
  </sheetData>
  <mergeCells count="17">
    <mergeCell ref="C28:N28"/>
    <mergeCell ref="C29:N29"/>
    <mergeCell ref="C30:N30"/>
    <mergeCell ref="C31:N31"/>
    <mergeCell ref="C32:N32"/>
    <mergeCell ref="C27:N27"/>
    <mergeCell ref="B1:D1"/>
    <mergeCell ref="B5:D5"/>
    <mergeCell ref="B12:D12"/>
    <mergeCell ref="B16:D16"/>
    <mergeCell ref="F1:L1"/>
    <mergeCell ref="F9:L9"/>
    <mergeCell ref="C22:N22"/>
    <mergeCell ref="C23:N23"/>
    <mergeCell ref="C24:N24"/>
    <mergeCell ref="C25:N25"/>
    <mergeCell ref="C26:N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22"/>
  <sheetViews>
    <sheetView showGridLines="0" zoomScale="115" zoomScaleNormal="115" workbookViewId="0">
      <selection activeCell="B20" sqref="B20:G22"/>
    </sheetView>
  </sheetViews>
  <sheetFormatPr baseColWidth="10" defaultColWidth="11.44140625" defaultRowHeight="14.4"/>
  <cols>
    <col min="1" max="1" width="17.44140625" style="123" customWidth="1"/>
    <col min="2" max="6" width="12.6640625" style="123" bestFit="1" customWidth="1"/>
    <col min="7" max="7" width="15.44140625" style="123" customWidth="1"/>
    <col min="8" max="8" width="14.44140625" style="123" bestFit="1" customWidth="1"/>
    <col min="9" max="9" width="15.5546875" style="123" customWidth="1"/>
    <col min="10" max="16384" width="11.44140625" style="123"/>
  </cols>
  <sheetData>
    <row r="1" spans="1:13" ht="14.25" customHeight="1">
      <c r="A1" s="215" t="s">
        <v>694</v>
      </c>
      <c r="B1" s="216"/>
      <c r="C1" s="216"/>
      <c r="D1" s="216"/>
      <c r="E1" s="216"/>
      <c r="F1" s="216"/>
      <c r="G1" s="216"/>
      <c r="H1" s="216"/>
    </row>
    <row r="2" spans="1:13" ht="14.25" customHeight="1">
      <c r="A2" s="215"/>
      <c r="B2" s="216"/>
      <c r="C2" s="216"/>
      <c r="D2" s="216"/>
      <c r="E2" s="216"/>
      <c r="F2" s="216"/>
      <c r="G2" s="216"/>
      <c r="H2" s="216"/>
    </row>
    <row r="3" spans="1:13" ht="14.25" customHeight="1">
      <c r="A3" s="124"/>
      <c r="B3" s="125"/>
      <c r="C3" s="125"/>
      <c r="D3" s="125"/>
      <c r="E3" s="125"/>
      <c r="F3" s="126"/>
      <c r="G3" s="125"/>
      <c r="H3" s="125"/>
    </row>
    <row r="4" spans="1:13">
      <c r="A4" s="127" t="s">
        <v>695</v>
      </c>
      <c r="B4" s="127" t="s">
        <v>696</v>
      </c>
      <c r="C4" s="127" t="s">
        <v>697</v>
      </c>
      <c r="D4" s="127" t="s">
        <v>698</v>
      </c>
      <c r="E4" s="127" t="s">
        <v>699</v>
      </c>
      <c r="F4" s="127" t="s">
        <v>700</v>
      </c>
      <c r="G4" s="127" t="s">
        <v>701</v>
      </c>
      <c r="H4" s="128" t="s">
        <v>702</v>
      </c>
      <c r="I4" s="129"/>
      <c r="J4" s="129"/>
      <c r="K4" s="129"/>
      <c r="L4" s="129"/>
      <c r="M4" s="129"/>
    </row>
    <row r="5" spans="1:13">
      <c r="A5" s="130" t="s">
        <v>703</v>
      </c>
      <c r="B5" s="131">
        <v>5516</v>
      </c>
      <c r="C5" s="131">
        <v>96290</v>
      </c>
      <c r="D5" s="131">
        <v>56694</v>
      </c>
      <c r="E5" s="131">
        <v>27951</v>
      </c>
      <c r="F5" s="131">
        <v>7437</v>
      </c>
      <c r="G5" s="132">
        <f t="shared" ref="G5:G17" si="0">SUM(B5:F5)</f>
        <v>193888</v>
      </c>
      <c r="H5" s="156">
        <f t="shared" ref="H5:H17" si="1">SUM(G5)/SUM($G$5:$G$16)</f>
        <v>6.3232980502555561E-2</v>
      </c>
    </row>
    <row r="6" spans="1:13">
      <c r="A6" s="130" t="s">
        <v>704</v>
      </c>
      <c r="B6" s="131">
        <v>52572</v>
      </c>
      <c r="C6" s="131">
        <v>81106</v>
      </c>
      <c r="D6" s="131">
        <v>79151</v>
      </c>
      <c r="E6" s="131">
        <v>17511</v>
      </c>
      <c r="F6" s="131">
        <v>24793</v>
      </c>
      <c r="G6" s="132">
        <f t="shared" si="0"/>
        <v>255133</v>
      </c>
      <c r="H6" s="156">
        <f t="shared" si="1"/>
        <v>8.3206903029370102E-2</v>
      </c>
    </row>
    <row r="7" spans="1:13">
      <c r="A7" s="130" t="s">
        <v>705</v>
      </c>
      <c r="B7" s="131">
        <v>46647</v>
      </c>
      <c r="C7" s="131">
        <v>91479</v>
      </c>
      <c r="D7" s="131">
        <v>83899</v>
      </c>
      <c r="E7" s="131">
        <v>68859</v>
      </c>
      <c r="F7" s="131">
        <v>2158</v>
      </c>
      <c r="G7" s="132">
        <f t="shared" si="0"/>
        <v>293042</v>
      </c>
      <c r="H7" s="156">
        <f t="shared" si="1"/>
        <v>9.5570221325867968E-2</v>
      </c>
    </row>
    <row r="8" spans="1:13">
      <c r="A8" s="130" t="s">
        <v>706</v>
      </c>
      <c r="B8" s="131">
        <v>61334</v>
      </c>
      <c r="C8" s="131">
        <v>95571</v>
      </c>
      <c r="D8" s="131">
        <v>34821</v>
      </c>
      <c r="E8" s="131">
        <v>98761</v>
      </c>
      <c r="F8" s="131">
        <v>35965</v>
      </c>
      <c r="G8" s="132">
        <f t="shared" si="0"/>
        <v>326452</v>
      </c>
      <c r="H8" s="156">
        <f t="shared" si="1"/>
        <v>0.10646627409133247</v>
      </c>
    </row>
    <row r="9" spans="1:13">
      <c r="A9" s="130" t="s">
        <v>707</v>
      </c>
      <c r="B9" s="131">
        <v>40879</v>
      </c>
      <c r="C9" s="131">
        <v>88593</v>
      </c>
      <c r="D9" s="131">
        <v>55618</v>
      </c>
      <c r="E9" s="131">
        <v>83560</v>
      </c>
      <c r="F9" s="131">
        <v>98296</v>
      </c>
      <c r="G9" s="132">
        <f t="shared" si="0"/>
        <v>366946</v>
      </c>
      <c r="H9" s="156">
        <f t="shared" si="1"/>
        <v>0.11967264226507444</v>
      </c>
    </row>
    <row r="10" spans="1:13">
      <c r="A10" s="130" t="s">
        <v>708</v>
      </c>
      <c r="B10" s="131">
        <v>58971</v>
      </c>
      <c r="C10" s="131">
        <v>93694</v>
      </c>
      <c r="D10" s="131">
        <v>26003</v>
      </c>
      <c r="E10" s="131">
        <v>41823</v>
      </c>
      <c r="F10" s="131">
        <v>50896</v>
      </c>
      <c r="G10" s="132">
        <f t="shared" si="0"/>
        <v>271387</v>
      </c>
      <c r="H10" s="156">
        <f t="shared" si="1"/>
        <v>8.850784411437039E-2</v>
      </c>
    </row>
    <row r="11" spans="1:13">
      <c r="A11" s="130" t="s">
        <v>709</v>
      </c>
      <c r="B11" s="131">
        <v>93258</v>
      </c>
      <c r="C11" s="131">
        <v>68878</v>
      </c>
      <c r="D11" s="131">
        <v>52644</v>
      </c>
      <c r="E11" s="131">
        <v>72785</v>
      </c>
      <c r="F11" s="131">
        <v>73531</v>
      </c>
      <c r="G11" s="132">
        <f t="shared" si="0"/>
        <v>361096</v>
      </c>
      <c r="H11" s="156">
        <f t="shared" si="1"/>
        <v>0.11776477310380634</v>
      </c>
    </row>
    <row r="12" spans="1:13">
      <c r="A12" s="130" t="s">
        <v>710</v>
      </c>
      <c r="B12" s="131">
        <v>1831</v>
      </c>
      <c r="C12" s="131">
        <v>71198</v>
      </c>
      <c r="D12" s="131">
        <v>14935</v>
      </c>
      <c r="E12" s="131">
        <v>94179</v>
      </c>
      <c r="F12" s="131">
        <v>46078</v>
      </c>
      <c r="G12" s="132">
        <f t="shared" si="0"/>
        <v>228221</v>
      </c>
      <c r="H12" s="156">
        <f t="shared" si="1"/>
        <v>7.4430052624575707E-2</v>
      </c>
    </row>
    <row r="13" spans="1:13">
      <c r="A13" s="130" t="s">
        <v>711</v>
      </c>
      <c r="B13" s="131">
        <v>6764</v>
      </c>
      <c r="C13" s="131">
        <v>91336</v>
      </c>
      <c r="D13" s="131">
        <v>35953</v>
      </c>
      <c r="E13" s="131">
        <v>11950</v>
      </c>
      <c r="F13" s="131">
        <v>1309</v>
      </c>
      <c r="G13" s="132">
        <f t="shared" si="0"/>
        <v>147312</v>
      </c>
      <c r="H13" s="156">
        <f t="shared" si="1"/>
        <v>4.8043080664055875E-2</v>
      </c>
    </row>
    <row r="14" spans="1:13">
      <c r="A14" s="130" t="s">
        <v>712</v>
      </c>
      <c r="B14" s="131">
        <v>2321</v>
      </c>
      <c r="C14" s="131">
        <v>97091</v>
      </c>
      <c r="D14" s="131">
        <v>32548</v>
      </c>
      <c r="E14" s="131">
        <v>80530</v>
      </c>
      <c r="F14" s="131">
        <v>40786</v>
      </c>
      <c r="G14" s="132">
        <f t="shared" si="0"/>
        <v>253276</v>
      </c>
      <c r="H14" s="156">
        <f t="shared" si="1"/>
        <v>8.2601276869972678E-2</v>
      </c>
    </row>
    <row r="15" spans="1:13">
      <c r="A15" s="130" t="s">
        <v>713</v>
      </c>
      <c r="B15" s="131">
        <v>30522</v>
      </c>
      <c r="C15" s="131">
        <v>39306</v>
      </c>
      <c r="D15" s="131">
        <v>17680</v>
      </c>
      <c r="E15" s="131">
        <v>14849</v>
      </c>
      <c r="F15" s="131">
        <v>68506</v>
      </c>
      <c r="G15" s="132">
        <f t="shared" si="0"/>
        <v>170863</v>
      </c>
      <c r="H15" s="156">
        <f t="shared" si="1"/>
        <v>5.5723803162692646E-2</v>
      </c>
    </row>
    <row r="16" spans="1:13">
      <c r="A16" s="130" t="s">
        <v>714</v>
      </c>
      <c r="B16" s="131">
        <v>31569</v>
      </c>
      <c r="C16" s="131">
        <v>71446</v>
      </c>
      <c r="D16" s="131">
        <v>74527</v>
      </c>
      <c r="E16" s="131">
        <v>7017</v>
      </c>
      <c r="F16" s="131">
        <v>14073</v>
      </c>
      <c r="G16" s="132">
        <f t="shared" si="0"/>
        <v>198632</v>
      </c>
      <c r="H16" s="156">
        <f t="shared" si="1"/>
        <v>6.4780148246325803E-2</v>
      </c>
    </row>
    <row r="17" spans="1:9">
      <c r="A17" s="133" t="s">
        <v>715</v>
      </c>
      <c r="B17" s="155">
        <f>SUM(B5:B16)</f>
        <v>432184</v>
      </c>
      <c r="C17" s="155">
        <f>SUM(C5:C16)</f>
        <v>985988</v>
      </c>
      <c r="D17" s="155">
        <f>SUM(D5:D16)</f>
        <v>564473</v>
      </c>
      <c r="E17" s="155">
        <f>SUM(E5:E16)</f>
        <v>619775</v>
      </c>
      <c r="F17" s="155">
        <f>SUM(F5:F16)</f>
        <v>463828</v>
      </c>
      <c r="G17" s="134">
        <f t="shared" si="0"/>
        <v>3066248</v>
      </c>
      <c r="H17" s="156">
        <f t="shared" si="1"/>
        <v>1</v>
      </c>
    </row>
    <row r="18" spans="1:9">
      <c r="A18" s="128" t="s">
        <v>702</v>
      </c>
      <c r="B18" s="157">
        <f t="shared" ref="B18:G18" si="2">SUM(B17)/SUM($B$17:$F$17)</f>
        <v>0.14094880779375968</v>
      </c>
      <c r="C18" s="157">
        <f t="shared" si="2"/>
        <v>0.3215617262530624</v>
      </c>
      <c r="D18" s="157">
        <f t="shared" si="2"/>
        <v>0.18409241522538294</v>
      </c>
      <c r="E18" s="157">
        <f t="shared" si="2"/>
        <v>0.20212813836323743</v>
      </c>
      <c r="F18" s="157">
        <f t="shared" si="2"/>
        <v>0.15126891236455758</v>
      </c>
      <c r="G18" s="157">
        <f t="shared" si="2"/>
        <v>1</v>
      </c>
    </row>
    <row r="19" spans="1:9">
      <c r="H19" s="129"/>
    </row>
    <row r="20" spans="1:9">
      <c r="A20" s="133" t="s">
        <v>716</v>
      </c>
      <c r="B20" s="155">
        <f>+MAX(B5:B16)</f>
        <v>93258</v>
      </c>
      <c r="C20" s="155">
        <f t="shared" ref="C20:F20" si="3">+MAX(C5:C16)</f>
        <v>97091</v>
      </c>
      <c r="D20" s="155">
        <f t="shared" si="3"/>
        <v>83899</v>
      </c>
      <c r="E20" s="155">
        <f t="shared" si="3"/>
        <v>98761</v>
      </c>
      <c r="F20" s="155">
        <f t="shared" si="3"/>
        <v>98296</v>
      </c>
      <c r="G20" s="155">
        <f>+MAX(G5:G16)</f>
        <v>366946</v>
      </c>
      <c r="H20" s="129"/>
    </row>
    <row r="21" spans="1:9">
      <c r="A21" s="133" t="s">
        <v>717</v>
      </c>
      <c r="B21" s="155">
        <f>+MIN(B5:B16)</f>
        <v>1831</v>
      </c>
      <c r="C21" s="155">
        <f t="shared" ref="C21:F21" si="4">+MIN(C5:C16)</f>
        <v>39306</v>
      </c>
      <c r="D21" s="155">
        <f t="shared" si="4"/>
        <v>14935</v>
      </c>
      <c r="E21" s="155">
        <f t="shared" si="4"/>
        <v>7017</v>
      </c>
      <c r="F21" s="155">
        <f t="shared" si="4"/>
        <v>1309</v>
      </c>
      <c r="G21" s="155">
        <f>+MIN(G5:G16)</f>
        <v>147312</v>
      </c>
      <c r="H21" s="129"/>
    </row>
    <row r="22" spans="1:9">
      <c r="A22" s="133" t="s">
        <v>718</v>
      </c>
      <c r="B22" s="155">
        <f>+AVERAGE(B5:B16)</f>
        <v>36015.333333333336</v>
      </c>
      <c r="C22" s="155">
        <f t="shared" ref="C22:F22" si="5">+AVERAGE(C5:C16)</f>
        <v>82165.666666666672</v>
      </c>
      <c r="D22" s="155">
        <f t="shared" si="5"/>
        <v>47039.416666666664</v>
      </c>
      <c r="E22" s="155">
        <f t="shared" si="5"/>
        <v>51647.916666666664</v>
      </c>
      <c r="F22" s="155">
        <f t="shared" si="5"/>
        <v>38652.333333333336</v>
      </c>
      <c r="G22" s="155">
        <f>+AVERAGE(G5:G16)</f>
        <v>255520.66666666666</v>
      </c>
      <c r="H22" s="129"/>
      <c r="I22" s="135"/>
    </row>
  </sheetData>
  <mergeCells count="1">
    <mergeCell ref="A1:H2"/>
  </mergeCells>
  <pageMargins left="0.39370078740157483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&amp;CINSTITUTO MANUEL OLIVARES
INTAE - MOR</oddHeader>
    <oddFooter>&amp;LELABORADO POR JORGE GAVARRETE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22"/>
  <sheetViews>
    <sheetView showGridLines="0" zoomScale="115" zoomScaleNormal="115" workbookViewId="0">
      <selection activeCell="H19" sqref="H19"/>
    </sheetView>
  </sheetViews>
  <sheetFormatPr baseColWidth="10" defaultColWidth="11.44140625" defaultRowHeight="14.4"/>
  <cols>
    <col min="1" max="1" width="17.44140625" style="123" customWidth="1"/>
    <col min="2" max="6" width="12.6640625" style="123" bestFit="1" customWidth="1"/>
    <col min="7" max="7" width="15.44140625" style="123" customWidth="1"/>
    <col min="8" max="8" width="14.44140625" style="123" bestFit="1" customWidth="1"/>
    <col min="9" max="9" width="15.5546875" style="123" customWidth="1"/>
    <col min="10" max="16384" width="11.44140625" style="123"/>
  </cols>
  <sheetData>
    <row r="1" spans="1:13" ht="14.25" customHeight="1">
      <c r="A1" s="215" t="s">
        <v>694</v>
      </c>
      <c r="B1" s="216"/>
      <c r="C1" s="216"/>
      <c r="D1" s="216"/>
      <c r="E1" s="216"/>
      <c r="F1" s="216"/>
      <c r="G1" s="216"/>
      <c r="H1" s="216"/>
    </row>
    <row r="2" spans="1:13" ht="14.25" customHeight="1">
      <c r="A2" s="215"/>
      <c r="B2" s="216"/>
      <c r="C2" s="216"/>
      <c r="D2" s="216"/>
      <c r="E2" s="216"/>
      <c r="F2" s="216"/>
      <c r="G2" s="216"/>
      <c r="H2" s="216"/>
    </row>
    <row r="3" spans="1:13" ht="14.25" customHeight="1">
      <c r="A3" s="124"/>
      <c r="B3" s="125"/>
      <c r="C3" s="125"/>
      <c r="D3" s="125"/>
      <c r="E3" s="125"/>
      <c r="F3" s="126"/>
      <c r="G3" s="125"/>
      <c r="H3" s="125"/>
    </row>
    <row r="4" spans="1:13">
      <c r="A4" s="127" t="s">
        <v>695</v>
      </c>
      <c r="B4" s="127" t="s">
        <v>696</v>
      </c>
      <c r="C4" s="127" t="s">
        <v>697</v>
      </c>
      <c r="D4" s="127" t="s">
        <v>698</v>
      </c>
      <c r="E4" s="127" t="s">
        <v>699</v>
      </c>
      <c r="F4" s="127" t="s">
        <v>700</v>
      </c>
      <c r="G4" s="127" t="s">
        <v>701</v>
      </c>
      <c r="H4" s="128" t="s">
        <v>702</v>
      </c>
      <c r="I4" s="129"/>
      <c r="J4" s="129"/>
      <c r="K4" s="129"/>
      <c r="L4" s="129"/>
      <c r="M4" s="129"/>
    </row>
    <row r="5" spans="1:13">
      <c r="A5" s="130" t="s">
        <v>703</v>
      </c>
      <c r="B5" s="131">
        <v>5516</v>
      </c>
      <c r="C5" s="131">
        <v>96290</v>
      </c>
      <c r="D5" s="131">
        <v>56694</v>
      </c>
      <c r="E5" s="131">
        <v>27951</v>
      </c>
      <c r="F5" s="131">
        <v>7437</v>
      </c>
      <c r="G5" s="132">
        <f t="shared" ref="G5:G17" si="0">SUM(B5:F5)</f>
        <v>193888</v>
      </c>
      <c r="H5" s="158">
        <f>+G5/$G$17</f>
        <v>6.3232980502555561E-2</v>
      </c>
    </row>
    <row r="6" spans="1:13">
      <c r="A6" s="130" t="s">
        <v>704</v>
      </c>
      <c r="B6" s="131">
        <v>52572</v>
      </c>
      <c r="C6" s="131">
        <v>81106</v>
      </c>
      <c r="D6" s="131">
        <v>79151</v>
      </c>
      <c r="E6" s="131">
        <v>17511</v>
      </c>
      <c r="F6" s="131">
        <v>24793</v>
      </c>
      <c r="G6" s="132">
        <f t="shared" si="0"/>
        <v>255133</v>
      </c>
      <c r="H6" s="158">
        <f t="shared" ref="H6:H17" si="1">+G6/$G$17</f>
        <v>8.3206903029370102E-2</v>
      </c>
    </row>
    <row r="7" spans="1:13">
      <c r="A7" s="130" t="s">
        <v>705</v>
      </c>
      <c r="B7" s="131">
        <v>46647</v>
      </c>
      <c r="C7" s="131">
        <v>91479</v>
      </c>
      <c r="D7" s="131">
        <v>83899</v>
      </c>
      <c r="E7" s="131">
        <v>68859</v>
      </c>
      <c r="F7" s="131">
        <v>2158</v>
      </c>
      <c r="G7" s="132">
        <f t="shared" si="0"/>
        <v>293042</v>
      </c>
      <c r="H7" s="158">
        <f t="shared" si="1"/>
        <v>9.5570221325867968E-2</v>
      </c>
    </row>
    <row r="8" spans="1:13">
      <c r="A8" s="130" t="s">
        <v>706</v>
      </c>
      <c r="B8" s="131">
        <v>61334</v>
      </c>
      <c r="C8" s="131">
        <v>95571</v>
      </c>
      <c r="D8" s="131">
        <v>34821</v>
      </c>
      <c r="E8" s="131">
        <v>98761</v>
      </c>
      <c r="F8" s="131">
        <v>35965</v>
      </c>
      <c r="G8" s="132">
        <f t="shared" si="0"/>
        <v>326452</v>
      </c>
      <c r="H8" s="158">
        <f t="shared" si="1"/>
        <v>0.10646627409133247</v>
      </c>
    </row>
    <row r="9" spans="1:13">
      <c r="A9" s="130" t="s">
        <v>707</v>
      </c>
      <c r="B9" s="131">
        <v>40879</v>
      </c>
      <c r="C9" s="131">
        <v>88593</v>
      </c>
      <c r="D9" s="131">
        <v>55618</v>
      </c>
      <c r="E9" s="131">
        <v>83560</v>
      </c>
      <c r="F9" s="131">
        <v>98296</v>
      </c>
      <c r="G9" s="132">
        <f t="shared" si="0"/>
        <v>366946</v>
      </c>
      <c r="H9" s="158">
        <f t="shared" si="1"/>
        <v>0.11967264226507444</v>
      </c>
    </row>
    <row r="10" spans="1:13">
      <c r="A10" s="130" t="s">
        <v>708</v>
      </c>
      <c r="B10" s="131">
        <v>58971</v>
      </c>
      <c r="C10" s="131">
        <v>93694</v>
      </c>
      <c r="D10" s="131">
        <v>26003</v>
      </c>
      <c r="E10" s="131">
        <v>41823</v>
      </c>
      <c r="F10" s="131">
        <v>50896</v>
      </c>
      <c r="G10" s="132">
        <f t="shared" si="0"/>
        <v>271387</v>
      </c>
      <c r="H10" s="158">
        <f t="shared" si="1"/>
        <v>8.850784411437039E-2</v>
      </c>
    </row>
    <row r="11" spans="1:13">
      <c r="A11" s="130" t="s">
        <v>709</v>
      </c>
      <c r="B11" s="131">
        <v>93258</v>
      </c>
      <c r="C11" s="131">
        <v>68878</v>
      </c>
      <c r="D11" s="131">
        <v>52644</v>
      </c>
      <c r="E11" s="131">
        <v>72785</v>
      </c>
      <c r="F11" s="131">
        <v>73531</v>
      </c>
      <c r="G11" s="132">
        <f t="shared" si="0"/>
        <v>361096</v>
      </c>
      <c r="H11" s="158">
        <f t="shared" si="1"/>
        <v>0.11776477310380634</v>
      </c>
    </row>
    <row r="12" spans="1:13">
      <c r="A12" s="130" t="s">
        <v>710</v>
      </c>
      <c r="B12" s="131">
        <v>1831</v>
      </c>
      <c r="C12" s="131">
        <v>71198</v>
      </c>
      <c r="D12" s="131">
        <v>14935</v>
      </c>
      <c r="E12" s="131">
        <v>94179</v>
      </c>
      <c r="F12" s="131">
        <v>46078</v>
      </c>
      <c r="G12" s="132">
        <f t="shared" si="0"/>
        <v>228221</v>
      </c>
      <c r="H12" s="158">
        <f t="shared" si="1"/>
        <v>7.4430052624575707E-2</v>
      </c>
    </row>
    <row r="13" spans="1:13">
      <c r="A13" s="130" t="s">
        <v>711</v>
      </c>
      <c r="B13" s="131">
        <v>6764</v>
      </c>
      <c r="C13" s="131">
        <v>91336</v>
      </c>
      <c r="D13" s="131">
        <v>35953</v>
      </c>
      <c r="E13" s="131">
        <v>11950</v>
      </c>
      <c r="F13" s="131">
        <v>1309</v>
      </c>
      <c r="G13" s="132">
        <f t="shared" si="0"/>
        <v>147312</v>
      </c>
      <c r="H13" s="158">
        <f t="shared" si="1"/>
        <v>4.8043080664055875E-2</v>
      </c>
    </row>
    <row r="14" spans="1:13">
      <c r="A14" s="130" t="s">
        <v>712</v>
      </c>
      <c r="B14" s="131">
        <v>2321</v>
      </c>
      <c r="C14" s="131">
        <v>97091</v>
      </c>
      <c r="D14" s="131">
        <v>32548</v>
      </c>
      <c r="E14" s="131">
        <v>80530</v>
      </c>
      <c r="F14" s="131">
        <v>40786</v>
      </c>
      <c r="G14" s="132">
        <f t="shared" si="0"/>
        <v>253276</v>
      </c>
      <c r="H14" s="158">
        <f t="shared" si="1"/>
        <v>8.2601276869972678E-2</v>
      </c>
    </row>
    <row r="15" spans="1:13">
      <c r="A15" s="130" t="s">
        <v>713</v>
      </c>
      <c r="B15" s="131">
        <v>30522</v>
      </c>
      <c r="C15" s="131">
        <v>39306</v>
      </c>
      <c r="D15" s="131">
        <v>17680</v>
      </c>
      <c r="E15" s="131">
        <v>14849</v>
      </c>
      <c r="F15" s="131">
        <v>68506</v>
      </c>
      <c r="G15" s="132">
        <f t="shared" si="0"/>
        <v>170863</v>
      </c>
      <c r="H15" s="158">
        <f t="shared" si="1"/>
        <v>5.5723803162692646E-2</v>
      </c>
    </row>
    <row r="16" spans="1:13">
      <c r="A16" s="130" t="s">
        <v>714</v>
      </c>
      <c r="B16" s="131">
        <v>31569</v>
      </c>
      <c r="C16" s="131">
        <v>71446</v>
      </c>
      <c r="D16" s="131">
        <v>74527</v>
      </c>
      <c r="E16" s="131">
        <v>7017</v>
      </c>
      <c r="F16" s="131">
        <v>14073</v>
      </c>
      <c r="G16" s="132">
        <f t="shared" si="0"/>
        <v>198632</v>
      </c>
      <c r="H16" s="158">
        <f t="shared" si="1"/>
        <v>6.4780148246325803E-2</v>
      </c>
    </row>
    <row r="17" spans="1:9">
      <c r="A17" s="133" t="s">
        <v>715</v>
      </c>
      <c r="B17" s="155">
        <f>SUM(B5:B16)</f>
        <v>432184</v>
      </c>
      <c r="C17" s="155">
        <f>SUM(C5:C16)</f>
        <v>985988</v>
      </c>
      <c r="D17" s="155">
        <f>SUM(D5:D16)</f>
        <v>564473</v>
      </c>
      <c r="E17" s="155">
        <f>SUM(E5:E16)</f>
        <v>619775</v>
      </c>
      <c r="F17" s="155">
        <f>SUM(F5:F16)</f>
        <v>463828</v>
      </c>
      <c r="G17" s="134">
        <f t="shared" si="0"/>
        <v>3066248</v>
      </c>
      <c r="H17" s="158">
        <f t="shared" si="1"/>
        <v>1</v>
      </c>
    </row>
    <row r="18" spans="1:9">
      <c r="A18" s="128" t="s">
        <v>702</v>
      </c>
      <c r="B18" s="159">
        <f>+B17/$G$17</f>
        <v>0.14094880779375968</v>
      </c>
      <c r="C18" s="159">
        <f t="shared" ref="C18:F18" si="2">+C17/$G$17</f>
        <v>0.3215617262530624</v>
      </c>
      <c r="D18" s="159">
        <f t="shared" si="2"/>
        <v>0.18409241522538294</v>
      </c>
      <c r="E18" s="159">
        <f t="shared" si="2"/>
        <v>0.20212813836323743</v>
      </c>
      <c r="F18" s="159">
        <f t="shared" si="2"/>
        <v>0.15126891236455758</v>
      </c>
      <c r="G18" s="159">
        <f>+G17/$G$17</f>
        <v>1</v>
      </c>
    </row>
    <row r="19" spans="1:9">
      <c r="H19" s="129"/>
    </row>
    <row r="20" spans="1:9">
      <c r="A20" s="133" t="s">
        <v>716</v>
      </c>
      <c r="B20" s="155">
        <f>MAX(B5:B16)</f>
        <v>93258</v>
      </c>
      <c r="C20" s="155">
        <f t="shared" ref="C20:F20" si="3">MAX(C5:C16)</f>
        <v>97091</v>
      </c>
      <c r="D20" s="155">
        <f t="shared" si="3"/>
        <v>83899</v>
      </c>
      <c r="E20" s="155">
        <f t="shared" si="3"/>
        <v>98761</v>
      </c>
      <c r="F20" s="155">
        <f t="shared" si="3"/>
        <v>98296</v>
      </c>
      <c r="G20" s="155">
        <f>MAX(G5:G16)</f>
        <v>366946</v>
      </c>
      <c r="H20" s="129"/>
    </row>
    <row r="21" spans="1:9">
      <c r="A21" s="133" t="s">
        <v>717</v>
      </c>
      <c r="B21" s="155">
        <f>MIN(B5:B16)</f>
        <v>1831</v>
      </c>
      <c r="C21" s="155">
        <f t="shared" ref="C21:F21" si="4">MIN(C5:C16)</f>
        <v>39306</v>
      </c>
      <c r="D21" s="155">
        <f t="shared" si="4"/>
        <v>14935</v>
      </c>
      <c r="E21" s="155">
        <f t="shared" si="4"/>
        <v>7017</v>
      </c>
      <c r="F21" s="155">
        <f t="shared" si="4"/>
        <v>1309</v>
      </c>
      <c r="G21" s="155">
        <f>MIN(G5:G16)</f>
        <v>147312</v>
      </c>
      <c r="H21" s="129"/>
    </row>
    <row r="22" spans="1:9">
      <c r="A22" s="133" t="s">
        <v>718</v>
      </c>
      <c r="B22" s="155">
        <f>AVERAGE(B5:B16)</f>
        <v>36015.333333333336</v>
      </c>
      <c r="C22" s="155">
        <f t="shared" ref="C22:F22" si="5">AVERAGE(C5:C16)</f>
        <v>82165.666666666672</v>
      </c>
      <c r="D22" s="155">
        <f t="shared" si="5"/>
        <v>47039.416666666664</v>
      </c>
      <c r="E22" s="155">
        <f t="shared" si="5"/>
        <v>51647.916666666664</v>
      </c>
      <c r="F22" s="155">
        <f t="shared" si="5"/>
        <v>38652.333333333336</v>
      </c>
      <c r="G22" s="155">
        <f>AVERAGE(G5:G16)</f>
        <v>255520.66666666666</v>
      </c>
      <c r="H22" s="129"/>
      <c r="I22" s="135"/>
    </row>
  </sheetData>
  <mergeCells count="1">
    <mergeCell ref="A1:H2"/>
  </mergeCells>
  <pageMargins left="0.39370078740157483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&amp;CINSTITUTO MANUEL OLIVARES
INTAE - MOR</oddHeader>
    <oddFooter>&amp;LELABORADO POR JORGE GAVARRETE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M22"/>
  <sheetViews>
    <sheetView showGridLines="0" zoomScale="115" zoomScaleNormal="115" workbookViewId="0">
      <selection activeCell="B6" sqref="B6"/>
    </sheetView>
  </sheetViews>
  <sheetFormatPr baseColWidth="10" defaultColWidth="11.44140625" defaultRowHeight="14.4"/>
  <cols>
    <col min="1" max="1" width="17.44140625" style="123" customWidth="1"/>
    <col min="2" max="6" width="12.6640625" style="123" bestFit="1" customWidth="1"/>
    <col min="7" max="7" width="15.44140625" style="123" customWidth="1"/>
    <col min="8" max="8" width="14.44140625" style="123" bestFit="1" customWidth="1"/>
    <col min="9" max="9" width="15.5546875" style="123" customWidth="1"/>
    <col min="10" max="16384" width="11.44140625" style="123"/>
  </cols>
  <sheetData>
    <row r="1" spans="1:13" ht="14.25" customHeight="1">
      <c r="A1" s="215" t="s">
        <v>694</v>
      </c>
      <c r="B1" s="216"/>
      <c r="C1" s="216"/>
      <c r="D1" s="216"/>
      <c r="E1" s="216"/>
      <c r="F1" s="216"/>
      <c r="G1" s="216"/>
      <c r="H1" s="216"/>
    </row>
    <row r="2" spans="1:13" ht="14.25" customHeight="1">
      <c r="A2" s="215"/>
      <c r="B2" s="216"/>
      <c r="C2" s="216"/>
      <c r="D2" s="216"/>
      <c r="E2" s="216"/>
      <c r="F2" s="216"/>
      <c r="G2" s="216"/>
      <c r="H2" s="216"/>
    </row>
    <row r="3" spans="1:13" ht="14.25" customHeight="1">
      <c r="A3" s="124"/>
      <c r="B3" s="125"/>
      <c r="C3" s="125"/>
      <c r="D3" s="125"/>
      <c r="E3" s="125"/>
      <c r="F3" s="126"/>
      <c r="G3" s="125"/>
      <c r="H3" s="125"/>
    </row>
    <row r="4" spans="1:13">
      <c r="A4" s="127" t="s">
        <v>695</v>
      </c>
      <c r="B4" s="127" t="s">
        <v>696</v>
      </c>
      <c r="C4" s="127" t="s">
        <v>697</v>
      </c>
      <c r="D4" s="127" t="s">
        <v>698</v>
      </c>
      <c r="E4" s="127" t="s">
        <v>699</v>
      </c>
      <c r="F4" s="127" t="s">
        <v>700</v>
      </c>
      <c r="G4" s="127" t="s">
        <v>701</v>
      </c>
      <c r="H4" s="128" t="s">
        <v>702</v>
      </c>
      <c r="I4" s="129"/>
      <c r="J4" s="129"/>
      <c r="K4" s="129"/>
      <c r="L4" s="129"/>
      <c r="M4" s="129"/>
    </row>
    <row r="5" spans="1:13">
      <c r="A5" s="130" t="s">
        <v>703</v>
      </c>
      <c r="B5" s="131">
        <v>5516</v>
      </c>
      <c r="C5" s="131">
        <v>96290</v>
      </c>
      <c r="D5" s="131">
        <v>56694</v>
      </c>
      <c r="E5" s="131">
        <v>27951</v>
      </c>
      <c r="F5" s="131">
        <v>7437</v>
      </c>
      <c r="G5" s="132">
        <f t="shared" ref="G5:G17" si="0">SUM(B5:F5)</f>
        <v>193888</v>
      </c>
      <c r="H5" s="156">
        <f t="shared" ref="H5:H17" si="1">SUM(G5)/SUM($G$5:$G$16)</f>
        <v>6.3232980502555561E-2</v>
      </c>
    </row>
    <row r="6" spans="1:13">
      <c r="A6" s="130" t="s">
        <v>704</v>
      </c>
      <c r="B6" s="131">
        <v>52572</v>
      </c>
      <c r="C6" s="131">
        <v>81106</v>
      </c>
      <c r="D6" s="131">
        <v>79151</v>
      </c>
      <c r="E6" s="131">
        <v>17511</v>
      </c>
      <c r="F6" s="131">
        <v>24793</v>
      </c>
      <c r="G6" s="132">
        <f t="shared" si="0"/>
        <v>255133</v>
      </c>
      <c r="H6" s="156">
        <f t="shared" si="1"/>
        <v>8.3206903029370102E-2</v>
      </c>
    </row>
    <row r="7" spans="1:13">
      <c r="A7" s="130" t="s">
        <v>705</v>
      </c>
      <c r="B7" s="131">
        <v>46647</v>
      </c>
      <c r="C7" s="131">
        <v>91479</v>
      </c>
      <c r="D7" s="131">
        <v>83899</v>
      </c>
      <c r="E7" s="131">
        <v>68859</v>
      </c>
      <c r="F7" s="131">
        <v>2158</v>
      </c>
      <c r="G7" s="132">
        <f t="shared" si="0"/>
        <v>293042</v>
      </c>
      <c r="H7" s="156">
        <f t="shared" si="1"/>
        <v>9.5570221325867968E-2</v>
      </c>
    </row>
    <row r="8" spans="1:13">
      <c r="A8" s="130" t="s">
        <v>706</v>
      </c>
      <c r="B8" s="131">
        <v>61334</v>
      </c>
      <c r="C8" s="131">
        <v>95571</v>
      </c>
      <c r="D8" s="131">
        <v>34821</v>
      </c>
      <c r="E8" s="131">
        <v>98761</v>
      </c>
      <c r="F8" s="131">
        <v>35965</v>
      </c>
      <c r="G8" s="132">
        <f t="shared" si="0"/>
        <v>326452</v>
      </c>
      <c r="H8" s="156">
        <f t="shared" si="1"/>
        <v>0.10646627409133247</v>
      </c>
    </row>
    <row r="9" spans="1:13">
      <c r="A9" s="130" t="s">
        <v>707</v>
      </c>
      <c r="B9" s="131">
        <v>40879</v>
      </c>
      <c r="C9" s="131">
        <v>88593</v>
      </c>
      <c r="D9" s="131">
        <v>55618</v>
      </c>
      <c r="E9" s="131">
        <v>83560</v>
      </c>
      <c r="F9" s="131">
        <v>98296</v>
      </c>
      <c r="G9" s="132">
        <f t="shared" si="0"/>
        <v>366946</v>
      </c>
      <c r="H9" s="156">
        <f t="shared" si="1"/>
        <v>0.11967264226507444</v>
      </c>
    </row>
    <row r="10" spans="1:13">
      <c r="A10" s="130" t="s">
        <v>708</v>
      </c>
      <c r="B10" s="131">
        <v>58971</v>
      </c>
      <c r="C10" s="131">
        <v>93694</v>
      </c>
      <c r="D10" s="131">
        <v>26003</v>
      </c>
      <c r="E10" s="131">
        <v>41823</v>
      </c>
      <c r="F10" s="131">
        <v>50896</v>
      </c>
      <c r="G10" s="132">
        <f t="shared" si="0"/>
        <v>271387</v>
      </c>
      <c r="H10" s="156">
        <f t="shared" si="1"/>
        <v>8.850784411437039E-2</v>
      </c>
    </row>
    <row r="11" spans="1:13">
      <c r="A11" s="130" t="s">
        <v>709</v>
      </c>
      <c r="B11" s="131">
        <v>93258</v>
      </c>
      <c r="C11" s="131">
        <v>68878</v>
      </c>
      <c r="D11" s="131">
        <v>52644</v>
      </c>
      <c r="E11" s="131">
        <v>72785</v>
      </c>
      <c r="F11" s="131">
        <v>73531</v>
      </c>
      <c r="G11" s="132">
        <f t="shared" si="0"/>
        <v>361096</v>
      </c>
      <c r="H11" s="156">
        <f t="shared" si="1"/>
        <v>0.11776477310380634</v>
      </c>
    </row>
    <row r="12" spans="1:13">
      <c r="A12" s="130" t="s">
        <v>710</v>
      </c>
      <c r="B12" s="131">
        <v>1831</v>
      </c>
      <c r="C12" s="131">
        <v>71198</v>
      </c>
      <c r="D12" s="131">
        <v>14935</v>
      </c>
      <c r="E12" s="131">
        <v>94179</v>
      </c>
      <c r="F12" s="131">
        <v>46078</v>
      </c>
      <c r="G12" s="132">
        <f t="shared" si="0"/>
        <v>228221</v>
      </c>
      <c r="H12" s="156">
        <f t="shared" si="1"/>
        <v>7.4430052624575707E-2</v>
      </c>
    </row>
    <row r="13" spans="1:13">
      <c r="A13" s="130" t="s">
        <v>711</v>
      </c>
      <c r="B13" s="131">
        <v>6764</v>
      </c>
      <c r="C13" s="131">
        <v>91336</v>
      </c>
      <c r="D13" s="131">
        <v>35953</v>
      </c>
      <c r="E13" s="131">
        <v>11950</v>
      </c>
      <c r="F13" s="131">
        <v>1309</v>
      </c>
      <c r="G13" s="132">
        <f t="shared" si="0"/>
        <v>147312</v>
      </c>
      <c r="H13" s="156">
        <f t="shared" si="1"/>
        <v>4.8043080664055875E-2</v>
      </c>
    </row>
    <row r="14" spans="1:13">
      <c r="A14" s="130" t="s">
        <v>712</v>
      </c>
      <c r="B14" s="131">
        <v>2321</v>
      </c>
      <c r="C14" s="131">
        <v>97091</v>
      </c>
      <c r="D14" s="131">
        <v>32548</v>
      </c>
      <c r="E14" s="131">
        <v>80530</v>
      </c>
      <c r="F14" s="131">
        <v>40786</v>
      </c>
      <c r="G14" s="132">
        <f t="shared" si="0"/>
        <v>253276</v>
      </c>
      <c r="H14" s="156">
        <f t="shared" si="1"/>
        <v>8.2601276869972678E-2</v>
      </c>
    </row>
    <row r="15" spans="1:13">
      <c r="A15" s="130" t="s">
        <v>713</v>
      </c>
      <c r="B15" s="131">
        <v>30522</v>
      </c>
      <c r="C15" s="131">
        <v>39306</v>
      </c>
      <c r="D15" s="131">
        <v>17680</v>
      </c>
      <c r="E15" s="131">
        <v>14849</v>
      </c>
      <c r="F15" s="131">
        <v>68506</v>
      </c>
      <c r="G15" s="132">
        <f t="shared" si="0"/>
        <v>170863</v>
      </c>
      <c r="H15" s="156">
        <f t="shared" si="1"/>
        <v>5.5723803162692646E-2</v>
      </c>
    </row>
    <row r="16" spans="1:13">
      <c r="A16" s="130" t="s">
        <v>714</v>
      </c>
      <c r="B16" s="131">
        <v>31569</v>
      </c>
      <c r="C16" s="131">
        <v>71446</v>
      </c>
      <c r="D16" s="131">
        <v>74527</v>
      </c>
      <c r="E16" s="131">
        <v>7017</v>
      </c>
      <c r="F16" s="131">
        <v>14073</v>
      </c>
      <c r="G16" s="132">
        <f t="shared" si="0"/>
        <v>198632</v>
      </c>
      <c r="H16" s="156">
        <f t="shared" si="1"/>
        <v>6.4780148246325803E-2</v>
      </c>
    </row>
    <row r="17" spans="1:9">
      <c r="A17" s="133" t="s">
        <v>715</v>
      </c>
      <c r="B17" s="155">
        <f>SUM(B5:B16)</f>
        <v>432184</v>
      </c>
      <c r="C17" s="155">
        <f>SUM(C5:C16)</f>
        <v>985988</v>
      </c>
      <c r="D17" s="155">
        <f>SUM(D5:D16)</f>
        <v>564473</v>
      </c>
      <c r="E17" s="155">
        <f>SUM(E5:E16)</f>
        <v>619775</v>
      </c>
      <c r="F17" s="155">
        <f>SUM(F5:F16)</f>
        <v>463828</v>
      </c>
      <c r="G17" s="134">
        <f t="shared" si="0"/>
        <v>3066248</v>
      </c>
      <c r="H17" s="156">
        <f t="shared" si="1"/>
        <v>1</v>
      </c>
    </row>
    <row r="18" spans="1:9">
      <c r="A18" s="128" t="s">
        <v>702</v>
      </c>
      <c r="B18" s="157">
        <f t="shared" ref="B18:G18" si="2">SUM(B17)/SUM($B$17:$F$17)</f>
        <v>0.14094880779375968</v>
      </c>
      <c r="C18" s="157">
        <f t="shared" si="2"/>
        <v>0.3215617262530624</v>
      </c>
      <c r="D18" s="157">
        <f t="shared" si="2"/>
        <v>0.18409241522538294</v>
      </c>
      <c r="E18" s="157">
        <f t="shared" si="2"/>
        <v>0.20212813836323743</v>
      </c>
      <c r="F18" s="159">
        <f t="shared" si="2"/>
        <v>0.15126891236455758</v>
      </c>
      <c r="G18" s="159">
        <f t="shared" si="2"/>
        <v>1</v>
      </c>
    </row>
    <row r="19" spans="1:9">
      <c r="H19" s="129"/>
    </row>
    <row r="20" spans="1:9">
      <c r="A20" s="133" t="s">
        <v>716</v>
      </c>
      <c r="B20" s="155">
        <f>MAX(B5:B16)</f>
        <v>93258</v>
      </c>
      <c r="C20" s="155">
        <f t="shared" ref="C20:F20" si="3">MAX(C5:C16)</f>
        <v>97091</v>
      </c>
      <c r="D20" s="155">
        <f t="shared" si="3"/>
        <v>83899</v>
      </c>
      <c r="E20" s="155">
        <f t="shared" si="3"/>
        <v>98761</v>
      </c>
      <c r="F20" s="155">
        <f t="shared" si="3"/>
        <v>98296</v>
      </c>
      <c r="G20" s="155">
        <f>MAX(G5:G16)</f>
        <v>366946</v>
      </c>
      <c r="H20" s="129"/>
    </row>
    <row r="21" spans="1:9">
      <c r="A21" s="133" t="s">
        <v>717</v>
      </c>
      <c r="B21" s="155">
        <f>MIN(B5:B16)</f>
        <v>1831</v>
      </c>
      <c r="C21" s="155">
        <f t="shared" ref="C21:F21" si="4">MIN(C5:C16)</f>
        <v>39306</v>
      </c>
      <c r="D21" s="155">
        <f t="shared" si="4"/>
        <v>14935</v>
      </c>
      <c r="E21" s="155">
        <f t="shared" si="4"/>
        <v>7017</v>
      </c>
      <c r="F21" s="155">
        <f t="shared" si="4"/>
        <v>1309</v>
      </c>
      <c r="G21" s="155">
        <f>MIN(G5:G16)</f>
        <v>147312</v>
      </c>
      <c r="H21" s="129"/>
    </row>
    <row r="22" spans="1:9">
      <c r="A22" s="133" t="s">
        <v>718</v>
      </c>
      <c r="B22" s="155">
        <f>AVERAGE(B5:B16)</f>
        <v>36015.333333333336</v>
      </c>
      <c r="C22" s="155">
        <f t="shared" ref="C22:F22" si="5">AVERAGE(C5:C16)</f>
        <v>82165.666666666672</v>
      </c>
      <c r="D22" s="155">
        <f t="shared" si="5"/>
        <v>47039.416666666664</v>
      </c>
      <c r="E22" s="155">
        <f t="shared" si="5"/>
        <v>51647.916666666664</v>
      </c>
      <c r="F22" s="155">
        <f t="shared" si="5"/>
        <v>38652.333333333336</v>
      </c>
      <c r="G22" s="155">
        <f>AVERAGE(G5:G16)</f>
        <v>255520.66666666666</v>
      </c>
      <c r="H22" s="129"/>
      <c r="I22" s="135"/>
    </row>
  </sheetData>
  <mergeCells count="1">
    <mergeCell ref="A1:H2"/>
  </mergeCells>
  <conditionalFormatting sqref="B5:F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F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{E47E2DE3-4AF6-4E28-89E8-497D9BD5880A}</x14:id>
        </ext>
      </extLs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G5:G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{EA9B72D0-9F07-47D3-9468-43FF13A9FF0D}</x14:id>
        </ext>
      </extLst>
    </cfRule>
    <cfRule type="iconSet" priority="5">
      <iconSet iconSet="3Arrows">
        <cfvo type="percent" val="0"/>
        <cfvo type="percent" val="33"/>
        <cfvo type="percent" val="67"/>
      </iconSet>
    </cfRule>
  </conditionalFormatting>
  <pageMargins left="0.39370078740157483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&amp;CINSTITUTO MANUEL OLIVARES
INTAE - MOR</oddHeader>
    <oddFooter>&amp;LELABORADO POR JORGE GAVARRETE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7E2DE3-4AF6-4E28-89E8-497D9BD588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B17:F17</xm:sqref>
        </x14:conditionalFormatting>
        <x14:conditionalFormatting xmlns:xm="http://schemas.microsoft.com/office/excel/2006/main">
          <x14:cfRule type="dataBar" id="{EA9B72D0-9F07-47D3-9468-43FF13A9F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M22"/>
  <sheetViews>
    <sheetView showGridLines="0" zoomScaleNormal="100" workbookViewId="0">
      <selection activeCell="O25" sqref="O25"/>
    </sheetView>
  </sheetViews>
  <sheetFormatPr baseColWidth="10" defaultColWidth="11.44140625" defaultRowHeight="14.4"/>
  <cols>
    <col min="1" max="1" width="17.44140625" style="123" customWidth="1"/>
    <col min="2" max="6" width="12.6640625" style="123" bestFit="1" customWidth="1"/>
    <col min="7" max="7" width="15.44140625" style="123" customWidth="1"/>
    <col min="8" max="8" width="14.44140625" style="123" bestFit="1" customWidth="1"/>
    <col min="9" max="9" width="15.5546875" style="123" customWidth="1"/>
    <col min="10" max="16384" width="11.44140625" style="123"/>
  </cols>
  <sheetData>
    <row r="1" spans="1:13" ht="14.25" customHeight="1">
      <c r="A1" s="215" t="s">
        <v>694</v>
      </c>
      <c r="B1" s="216"/>
      <c r="C1" s="216"/>
      <c r="D1" s="216"/>
      <c r="E1" s="216"/>
      <c r="F1" s="216"/>
      <c r="G1" s="216"/>
      <c r="H1" s="216"/>
    </row>
    <row r="2" spans="1:13" ht="14.25" customHeight="1">
      <c r="A2" s="215"/>
      <c r="B2" s="216"/>
      <c r="C2" s="216"/>
      <c r="D2" s="216"/>
      <c r="E2" s="216"/>
      <c r="F2" s="216"/>
      <c r="G2" s="216"/>
      <c r="H2" s="216"/>
    </row>
    <row r="3" spans="1:13" ht="14.25" customHeight="1">
      <c r="A3" s="124"/>
      <c r="B3" s="125"/>
      <c r="C3" s="125"/>
      <c r="D3" s="125"/>
      <c r="E3" s="125"/>
      <c r="F3" s="126"/>
      <c r="G3" s="125"/>
      <c r="H3" s="125"/>
    </row>
    <row r="4" spans="1:13">
      <c r="A4" s="127" t="s">
        <v>695</v>
      </c>
      <c r="B4" s="127" t="s">
        <v>696</v>
      </c>
      <c r="C4" s="127" t="s">
        <v>697</v>
      </c>
      <c r="D4" s="127" t="s">
        <v>698</v>
      </c>
      <c r="E4" s="127" t="s">
        <v>699</v>
      </c>
      <c r="F4" s="127" t="s">
        <v>700</v>
      </c>
      <c r="G4" s="127" t="s">
        <v>701</v>
      </c>
      <c r="H4" s="128" t="s">
        <v>702</v>
      </c>
      <c r="I4" s="129"/>
      <c r="J4" s="129"/>
      <c r="K4" s="129"/>
      <c r="L4" s="129"/>
      <c r="M4" s="129"/>
    </row>
    <row r="5" spans="1:13">
      <c r="A5" s="130" t="s">
        <v>703</v>
      </c>
      <c r="B5" s="131">
        <v>5516</v>
      </c>
      <c r="C5" s="131">
        <v>96290</v>
      </c>
      <c r="D5" s="131">
        <v>56694</v>
      </c>
      <c r="E5" s="131">
        <v>27951</v>
      </c>
      <c r="F5" s="131">
        <v>7437</v>
      </c>
      <c r="G5" s="132">
        <f t="shared" ref="G5:G17" si="0">SUM(B5:F5)</f>
        <v>193888</v>
      </c>
      <c r="H5" s="156">
        <f t="shared" ref="H5:H17" si="1">SUM(G5)/SUM($G$5:$G$16)</f>
        <v>6.3232980502555561E-2</v>
      </c>
    </row>
    <row r="6" spans="1:13">
      <c r="A6" s="130" t="s">
        <v>704</v>
      </c>
      <c r="B6" s="131">
        <v>52572</v>
      </c>
      <c r="C6" s="131">
        <v>81106</v>
      </c>
      <c r="D6" s="131">
        <v>79151</v>
      </c>
      <c r="E6" s="131">
        <v>17511</v>
      </c>
      <c r="F6" s="131">
        <v>24793</v>
      </c>
      <c r="G6" s="132">
        <f t="shared" si="0"/>
        <v>255133</v>
      </c>
      <c r="H6" s="156">
        <f t="shared" si="1"/>
        <v>8.3206903029370102E-2</v>
      </c>
    </row>
    <row r="7" spans="1:13">
      <c r="A7" s="130" t="s">
        <v>705</v>
      </c>
      <c r="B7" s="131">
        <v>46647</v>
      </c>
      <c r="C7" s="131">
        <v>91479</v>
      </c>
      <c r="D7" s="131">
        <v>83899</v>
      </c>
      <c r="E7" s="131">
        <v>68859</v>
      </c>
      <c r="F7" s="131">
        <v>2158</v>
      </c>
      <c r="G7" s="132">
        <f t="shared" si="0"/>
        <v>293042</v>
      </c>
      <c r="H7" s="156">
        <f t="shared" si="1"/>
        <v>9.5570221325867968E-2</v>
      </c>
    </row>
    <row r="8" spans="1:13">
      <c r="A8" s="130" t="s">
        <v>706</v>
      </c>
      <c r="B8" s="131">
        <v>61334</v>
      </c>
      <c r="C8" s="131">
        <v>95571</v>
      </c>
      <c r="D8" s="131">
        <v>34821</v>
      </c>
      <c r="E8" s="131">
        <v>98761</v>
      </c>
      <c r="F8" s="131">
        <v>35965</v>
      </c>
      <c r="G8" s="132">
        <f t="shared" si="0"/>
        <v>326452</v>
      </c>
      <c r="H8" s="156">
        <f t="shared" si="1"/>
        <v>0.10646627409133247</v>
      </c>
    </row>
    <row r="9" spans="1:13">
      <c r="A9" s="130" t="s">
        <v>707</v>
      </c>
      <c r="B9" s="131">
        <v>40879</v>
      </c>
      <c r="C9" s="131">
        <v>88593</v>
      </c>
      <c r="D9" s="131">
        <v>55618</v>
      </c>
      <c r="E9" s="131">
        <v>83560</v>
      </c>
      <c r="F9" s="131">
        <v>98296</v>
      </c>
      <c r="G9" s="132">
        <f t="shared" si="0"/>
        <v>366946</v>
      </c>
      <c r="H9" s="156">
        <f t="shared" si="1"/>
        <v>0.11967264226507444</v>
      </c>
    </row>
    <row r="10" spans="1:13">
      <c r="A10" s="130" t="s">
        <v>708</v>
      </c>
      <c r="B10" s="131">
        <v>58971</v>
      </c>
      <c r="C10" s="131">
        <v>93694</v>
      </c>
      <c r="D10" s="131">
        <v>26003</v>
      </c>
      <c r="E10" s="131">
        <v>41823</v>
      </c>
      <c r="F10" s="131">
        <v>50896</v>
      </c>
      <c r="G10" s="132">
        <f t="shared" si="0"/>
        <v>271387</v>
      </c>
      <c r="H10" s="156">
        <f t="shared" si="1"/>
        <v>8.850784411437039E-2</v>
      </c>
    </row>
    <row r="11" spans="1:13">
      <c r="A11" s="130" t="s">
        <v>709</v>
      </c>
      <c r="B11" s="131">
        <v>93258</v>
      </c>
      <c r="C11" s="131">
        <v>68878</v>
      </c>
      <c r="D11" s="131">
        <v>52644</v>
      </c>
      <c r="E11" s="131">
        <v>72785</v>
      </c>
      <c r="F11" s="131">
        <v>73531</v>
      </c>
      <c r="G11" s="132">
        <f t="shared" si="0"/>
        <v>361096</v>
      </c>
      <c r="H11" s="156">
        <f t="shared" si="1"/>
        <v>0.11776477310380634</v>
      </c>
    </row>
    <row r="12" spans="1:13">
      <c r="A12" s="130" t="s">
        <v>710</v>
      </c>
      <c r="B12" s="131">
        <v>1831</v>
      </c>
      <c r="C12" s="131">
        <v>71198</v>
      </c>
      <c r="D12" s="131">
        <v>14935</v>
      </c>
      <c r="E12" s="131">
        <v>94179</v>
      </c>
      <c r="F12" s="131">
        <v>46078</v>
      </c>
      <c r="G12" s="132">
        <f t="shared" si="0"/>
        <v>228221</v>
      </c>
      <c r="H12" s="156">
        <f t="shared" si="1"/>
        <v>7.4430052624575707E-2</v>
      </c>
    </row>
    <row r="13" spans="1:13">
      <c r="A13" s="130" t="s">
        <v>711</v>
      </c>
      <c r="B13" s="131">
        <v>6764</v>
      </c>
      <c r="C13" s="131">
        <v>91336</v>
      </c>
      <c r="D13" s="131">
        <v>35953</v>
      </c>
      <c r="E13" s="131">
        <v>11950</v>
      </c>
      <c r="F13" s="131">
        <v>1309</v>
      </c>
      <c r="G13" s="132">
        <f t="shared" si="0"/>
        <v>147312</v>
      </c>
      <c r="H13" s="156">
        <f t="shared" si="1"/>
        <v>4.8043080664055875E-2</v>
      </c>
    </row>
    <row r="14" spans="1:13">
      <c r="A14" s="130" t="s">
        <v>712</v>
      </c>
      <c r="B14" s="131">
        <v>2321</v>
      </c>
      <c r="C14" s="131">
        <v>97091</v>
      </c>
      <c r="D14" s="131">
        <v>32548</v>
      </c>
      <c r="E14" s="131">
        <v>80530</v>
      </c>
      <c r="F14" s="131">
        <v>40786</v>
      </c>
      <c r="G14" s="132">
        <f t="shared" si="0"/>
        <v>253276</v>
      </c>
      <c r="H14" s="156">
        <f t="shared" si="1"/>
        <v>8.2601276869972678E-2</v>
      </c>
    </row>
    <row r="15" spans="1:13">
      <c r="A15" s="130" t="s">
        <v>713</v>
      </c>
      <c r="B15" s="131">
        <v>30522</v>
      </c>
      <c r="C15" s="131">
        <v>39306</v>
      </c>
      <c r="D15" s="131">
        <v>17680</v>
      </c>
      <c r="E15" s="131">
        <v>14849</v>
      </c>
      <c r="F15" s="131">
        <v>68506</v>
      </c>
      <c r="G15" s="132">
        <f t="shared" si="0"/>
        <v>170863</v>
      </c>
      <c r="H15" s="156">
        <f t="shared" si="1"/>
        <v>5.5723803162692646E-2</v>
      </c>
    </row>
    <row r="16" spans="1:13">
      <c r="A16" s="130" t="s">
        <v>714</v>
      </c>
      <c r="B16" s="131">
        <v>31569</v>
      </c>
      <c r="C16" s="131">
        <v>71446</v>
      </c>
      <c r="D16" s="131">
        <v>74527</v>
      </c>
      <c r="E16" s="131">
        <v>7017</v>
      </c>
      <c r="F16" s="131">
        <v>14073</v>
      </c>
      <c r="G16" s="132">
        <f t="shared" si="0"/>
        <v>198632</v>
      </c>
      <c r="H16" s="156">
        <f t="shared" si="1"/>
        <v>6.4780148246325803E-2</v>
      </c>
    </row>
    <row r="17" spans="1:9">
      <c r="A17" s="133" t="s">
        <v>715</v>
      </c>
      <c r="B17" s="155">
        <f>SUM(B5:B16)</f>
        <v>432184</v>
      </c>
      <c r="C17" s="155">
        <f>SUM(C5:C16)</f>
        <v>985988</v>
      </c>
      <c r="D17" s="155">
        <f>SUM(D5:D16)</f>
        <v>564473</v>
      </c>
      <c r="E17" s="155">
        <f>SUM(E5:E16)</f>
        <v>619775</v>
      </c>
      <c r="F17" s="155">
        <f>SUM(F5:F16)</f>
        <v>463828</v>
      </c>
      <c r="G17" s="134">
        <f t="shared" si="0"/>
        <v>3066248</v>
      </c>
      <c r="H17" s="156">
        <f t="shared" si="1"/>
        <v>1</v>
      </c>
    </row>
    <row r="18" spans="1:9">
      <c r="A18" s="128" t="s">
        <v>702</v>
      </c>
      <c r="B18" s="159">
        <f t="shared" ref="B18:G18" si="2">SUM(B17)/SUM($B$17:$F$17)</f>
        <v>0.14094880779375968</v>
      </c>
      <c r="C18" s="159">
        <f t="shared" si="2"/>
        <v>0.3215617262530624</v>
      </c>
      <c r="D18" s="159">
        <f t="shared" si="2"/>
        <v>0.18409241522538294</v>
      </c>
      <c r="E18" s="159">
        <f t="shared" si="2"/>
        <v>0.20212813836323743</v>
      </c>
      <c r="F18" s="159">
        <f t="shared" si="2"/>
        <v>0.15126891236455758</v>
      </c>
      <c r="G18" s="159">
        <f t="shared" si="2"/>
        <v>1</v>
      </c>
    </row>
    <row r="19" spans="1:9">
      <c r="H19" s="129"/>
    </row>
    <row r="20" spans="1:9">
      <c r="A20" s="133" t="s">
        <v>716</v>
      </c>
      <c r="B20" s="155">
        <f>MAX(B5:B16)</f>
        <v>93258</v>
      </c>
      <c r="C20" s="155">
        <f t="shared" ref="C20:F20" si="3">MAX(C5:C16)</f>
        <v>97091</v>
      </c>
      <c r="D20" s="155">
        <f t="shared" si="3"/>
        <v>83899</v>
      </c>
      <c r="E20" s="155">
        <f t="shared" si="3"/>
        <v>98761</v>
      </c>
      <c r="F20" s="155">
        <f t="shared" si="3"/>
        <v>98296</v>
      </c>
      <c r="G20" s="155">
        <f>MAX(G5:G16)</f>
        <v>366946</v>
      </c>
      <c r="H20" s="129"/>
    </row>
    <row r="21" spans="1:9">
      <c r="A21" s="133" t="s">
        <v>717</v>
      </c>
      <c r="B21" s="155">
        <f>MIN(B5:B16)</f>
        <v>1831</v>
      </c>
      <c r="C21" s="155">
        <f t="shared" ref="C21:F21" si="4">MIN(C5:C16)</f>
        <v>39306</v>
      </c>
      <c r="D21" s="155">
        <f t="shared" si="4"/>
        <v>14935</v>
      </c>
      <c r="E21" s="155">
        <f t="shared" si="4"/>
        <v>7017</v>
      </c>
      <c r="F21" s="155">
        <f t="shared" si="4"/>
        <v>1309</v>
      </c>
      <c r="G21" s="155">
        <f>MIN(G5:G16)</f>
        <v>147312</v>
      </c>
      <c r="H21" s="129"/>
    </row>
    <row r="22" spans="1:9">
      <c r="A22" s="133" t="s">
        <v>718</v>
      </c>
      <c r="B22" s="155">
        <f>AVERAGE(B5:B16)</f>
        <v>36015.333333333336</v>
      </c>
      <c r="C22" s="155">
        <f t="shared" ref="C22:F22" si="5">AVERAGE(C5:C16)</f>
        <v>82165.666666666672</v>
      </c>
      <c r="D22" s="155">
        <f t="shared" si="5"/>
        <v>47039.416666666664</v>
      </c>
      <c r="E22" s="155">
        <f t="shared" si="5"/>
        <v>51647.916666666664</v>
      </c>
      <c r="F22" s="155">
        <f t="shared" si="5"/>
        <v>38652.333333333336</v>
      </c>
      <c r="G22" s="155">
        <f>AVERAGE(G5:G16)</f>
        <v>255520.66666666666</v>
      </c>
      <c r="H22" s="129"/>
      <c r="I22" s="135"/>
    </row>
  </sheetData>
  <mergeCells count="1">
    <mergeCell ref="A1:H2"/>
  </mergeCells>
  <pageMargins left="0.39370078740157483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&amp;CINSTITUTO MANUEL OLIVARES
INTAE - MOR</oddHeader>
    <oddFooter>&amp;LELABORADO POR JORGE GAVARRETE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7">
    <tabColor rgb="FF00B050"/>
  </sheetPr>
  <dimension ref="A1:P449"/>
  <sheetViews>
    <sheetView showGridLines="0" tabSelected="1" zoomScale="115" zoomScaleNormal="115" workbookViewId="0">
      <selection activeCell="K6" sqref="K6"/>
    </sheetView>
  </sheetViews>
  <sheetFormatPr baseColWidth="10" defaultColWidth="11.44140625" defaultRowHeight="13.2"/>
  <cols>
    <col min="1" max="1" width="2.6640625" style="58" customWidth="1"/>
    <col min="2" max="2" width="10.109375" style="58" bestFit="1" customWidth="1"/>
    <col min="3" max="3" width="9.44140625" style="58" customWidth="1"/>
    <col min="4" max="4" width="28.5546875" style="58" customWidth="1"/>
    <col min="5" max="5" width="12" style="58" customWidth="1"/>
    <col min="6" max="6" width="9.88671875" style="58" customWidth="1"/>
    <col min="7" max="7" width="3.5546875" style="58" customWidth="1"/>
    <col min="8" max="8" width="3.109375" style="58" customWidth="1"/>
    <col min="9" max="9" width="2.6640625" style="58" customWidth="1"/>
    <col min="10" max="10" width="10.88671875" style="58" customWidth="1"/>
    <col min="11" max="11" width="31.6640625" style="58" bestFit="1" customWidth="1"/>
    <col min="12" max="12" width="10" style="58" customWidth="1"/>
    <col min="13" max="13" width="9.5546875" style="58" customWidth="1"/>
    <col min="14" max="14" width="2.33203125" style="58" customWidth="1"/>
    <col min="15" max="16384" width="11.44140625" style="58"/>
  </cols>
  <sheetData>
    <row r="1" spans="1:1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13.8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5" ht="15.6">
      <c r="A3" s="59"/>
      <c r="B3" s="60"/>
      <c r="C3" s="60">
        <v>2</v>
      </c>
      <c r="D3" s="61" t="s">
        <v>132</v>
      </c>
      <c r="H3" s="59"/>
      <c r="K3" s="61" t="s">
        <v>132</v>
      </c>
      <c r="N3" s="59"/>
    </row>
    <row r="4" spans="1:15">
      <c r="A4" s="59"/>
      <c r="H4" s="59"/>
      <c r="N4" s="59"/>
    </row>
    <row r="5" spans="1:15">
      <c r="A5" s="59"/>
      <c r="B5" s="162" t="s">
        <v>719</v>
      </c>
      <c r="C5" s="163" t="s">
        <v>133</v>
      </c>
      <c r="D5" s="163" t="s">
        <v>134</v>
      </c>
      <c r="E5" s="163" t="s">
        <v>135</v>
      </c>
      <c r="F5" s="164" t="s">
        <v>136</v>
      </c>
      <c r="H5" s="59"/>
      <c r="I5" s="62">
        <v>1</v>
      </c>
      <c r="J5" s="58" t="s">
        <v>137</v>
      </c>
      <c r="N5" s="59"/>
    </row>
    <row r="6" spans="1:15">
      <c r="A6" s="59"/>
      <c r="B6" s="160">
        <v>45478</v>
      </c>
      <c r="C6" s="63">
        <v>61</v>
      </c>
      <c r="D6" s="64" t="s">
        <v>138</v>
      </c>
      <c r="E6" s="64" t="s">
        <v>153</v>
      </c>
      <c r="F6" s="161">
        <v>4</v>
      </c>
      <c r="H6" s="59"/>
      <c r="I6" s="62"/>
      <c r="J6" s="58" t="s">
        <v>140</v>
      </c>
      <c r="K6" s="65">
        <f>+SUMIFS(Tabla1[CANT],Tabla1[VENDEDOR],D8)</f>
        <v>3738</v>
      </c>
      <c r="M6" s="58">
        <v>3738</v>
      </c>
      <c r="N6" s="59"/>
    </row>
    <row r="7" spans="1:15">
      <c r="A7" s="59"/>
      <c r="B7" s="160">
        <v>45478</v>
      </c>
      <c r="C7" s="63">
        <v>91</v>
      </c>
      <c r="D7" s="64" t="s">
        <v>151</v>
      </c>
      <c r="E7" s="64" t="s">
        <v>144</v>
      </c>
      <c r="F7" s="161">
        <v>4</v>
      </c>
      <c r="H7" s="59"/>
      <c r="I7" s="62"/>
      <c r="N7" s="59"/>
    </row>
    <row r="8" spans="1:15">
      <c r="A8" s="59"/>
      <c r="B8" s="160">
        <v>45478</v>
      </c>
      <c r="C8" s="63">
        <v>70</v>
      </c>
      <c r="D8" s="64" t="s">
        <v>141</v>
      </c>
      <c r="E8" s="64" t="s">
        <v>142</v>
      </c>
      <c r="F8" s="161">
        <v>4</v>
      </c>
      <c r="H8" s="59"/>
      <c r="I8" s="62">
        <v>2</v>
      </c>
      <c r="J8" s="58" t="s">
        <v>145</v>
      </c>
      <c r="N8" s="59"/>
    </row>
    <row r="9" spans="1:15">
      <c r="A9" s="59"/>
      <c r="B9" s="160">
        <v>45480</v>
      </c>
      <c r="C9" s="63">
        <v>94</v>
      </c>
      <c r="D9" s="64" t="s">
        <v>143</v>
      </c>
      <c r="E9" s="64" t="s">
        <v>156</v>
      </c>
      <c r="F9" s="161">
        <v>4</v>
      </c>
      <c r="H9" s="59"/>
      <c r="I9" s="62"/>
      <c r="J9" s="58" t="s">
        <v>140</v>
      </c>
      <c r="K9" s="65">
        <f>+SUMIFS(Tabla1[CANT],Tabla1[ARTICULO],E10)</f>
        <v>3384</v>
      </c>
      <c r="M9" s="58">
        <v>3384</v>
      </c>
      <c r="N9" s="59"/>
    </row>
    <row r="10" spans="1:15">
      <c r="A10" s="59"/>
      <c r="B10" s="160">
        <v>45481</v>
      </c>
      <c r="C10" s="63">
        <v>97</v>
      </c>
      <c r="D10" s="64" t="s">
        <v>150</v>
      </c>
      <c r="E10" s="64" t="s">
        <v>148</v>
      </c>
      <c r="F10" s="161">
        <v>1</v>
      </c>
      <c r="H10" s="59"/>
      <c r="I10" s="62"/>
      <c r="N10" s="59"/>
    </row>
    <row r="11" spans="1:15" ht="14.4">
      <c r="A11" s="59"/>
      <c r="B11" s="160">
        <v>45483</v>
      </c>
      <c r="C11" s="63">
        <v>58</v>
      </c>
      <c r="D11" s="64" t="s">
        <v>146</v>
      </c>
      <c r="E11" s="64" t="s">
        <v>147</v>
      </c>
      <c r="F11" s="161">
        <v>4</v>
      </c>
      <c r="H11" s="59"/>
      <c r="I11" s="62">
        <v>3</v>
      </c>
      <c r="J11" s="58" t="s">
        <v>149</v>
      </c>
      <c r="N11" s="59"/>
      <c r="O11"/>
    </row>
    <row r="12" spans="1:15" ht="14.4">
      <c r="A12" s="59"/>
      <c r="B12" s="160">
        <v>45484</v>
      </c>
      <c r="C12" s="63">
        <v>92</v>
      </c>
      <c r="D12" s="64" t="s">
        <v>138</v>
      </c>
      <c r="E12" s="64" t="s">
        <v>139</v>
      </c>
      <c r="F12" s="161">
        <v>2</v>
      </c>
      <c r="H12" s="59"/>
      <c r="I12" s="62"/>
      <c r="J12" s="58" t="s">
        <v>140</v>
      </c>
      <c r="K12" s="65">
        <f>+SUMIFS(Tabla1[CANT],Tabla1[ARTICULO],E18)</f>
        <v>2906</v>
      </c>
      <c r="M12" s="58">
        <v>2906</v>
      </c>
      <c r="N12" s="59"/>
      <c r="O12"/>
    </row>
    <row r="13" spans="1:15" ht="14.4">
      <c r="A13" s="59"/>
      <c r="B13" s="160">
        <v>45486</v>
      </c>
      <c r="C13" s="63">
        <v>92</v>
      </c>
      <c r="D13" s="64" t="s">
        <v>151</v>
      </c>
      <c r="E13" s="64" t="s">
        <v>153</v>
      </c>
      <c r="F13" s="161">
        <v>2</v>
      </c>
      <c r="H13" s="59"/>
      <c r="I13" s="62"/>
      <c r="N13" s="59"/>
      <c r="O13"/>
    </row>
    <row r="14" spans="1:15" ht="14.4">
      <c r="A14" s="59"/>
      <c r="B14" s="160">
        <v>45488</v>
      </c>
      <c r="C14" s="63">
        <v>18</v>
      </c>
      <c r="D14" s="64" t="s">
        <v>141</v>
      </c>
      <c r="E14" s="64" t="s">
        <v>144</v>
      </c>
      <c r="F14" s="161">
        <v>2</v>
      </c>
      <c r="H14" s="59"/>
      <c r="I14" s="62">
        <v>4</v>
      </c>
      <c r="J14" s="58" t="s">
        <v>152</v>
      </c>
      <c r="N14" s="59"/>
      <c r="O14"/>
    </row>
    <row r="15" spans="1:15" ht="14.4">
      <c r="A15" s="59"/>
      <c r="B15" s="160">
        <v>45491</v>
      </c>
      <c r="C15" s="63">
        <v>45</v>
      </c>
      <c r="D15" s="64" t="s">
        <v>143</v>
      </c>
      <c r="E15" s="64" t="s">
        <v>142</v>
      </c>
      <c r="F15" s="161">
        <v>4</v>
      </c>
      <c r="H15" s="59"/>
      <c r="I15" s="62"/>
      <c r="J15" s="58" t="s">
        <v>140</v>
      </c>
      <c r="K15" s="65">
        <f>+SUMIFS(Tabla1[CANT],Tabla1[ARTICULO],E6)</f>
        <v>2932</v>
      </c>
      <c r="M15" s="58">
        <v>2932</v>
      </c>
      <c r="N15" s="59"/>
      <c r="O15"/>
    </row>
    <row r="16" spans="1:15" ht="14.4">
      <c r="A16" s="59"/>
      <c r="B16" s="160">
        <v>45493</v>
      </c>
      <c r="C16" s="63">
        <v>48</v>
      </c>
      <c r="D16" s="64" t="s">
        <v>150</v>
      </c>
      <c r="E16" s="64" t="s">
        <v>156</v>
      </c>
      <c r="F16" s="161">
        <v>4</v>
      </c>
      <c r="H16" s="59"/>
      <c r="I16" s="62"/>
      <c r="N16" s="59"/>
      <c r="O16"/>
    </row>
    <row r="17" spans="1:16" ht="14.4">
      <c r="A17" s="59"/>
      <c r="B17" s="160">
        <v>45494</v>
      </c>
      <c r="C17" s="63">
        <v>16</v>
      </c>
      <c r="D17" s="64" t="s">
        <v>146</v>
      </c>
      <c r="E17" s="64" t="s">
        <v>148</v>
      </c>
      <c r="F17" s="161">
        <v>1</v>
      </c>
      <c r="H17" s="59"/>
      <c r="I17" s="62">
        <v>5</v>
      </c>
      <c r="J17" s="58" t="s">
        <v>154</v>
      </c>
      <c r="N17" s="59"/>
      <c r="O17"/>
    </row>
    <row r="18" spans="1:16" ht="14.4">
      <c r="A18" s="59"/>
      <c r="B18" s="160">
        <v>45496</v>
      </c>
      <c r="C18" s="63">
        <v>56</v>
      </c>
      <c r="D18" s="64" t="s">
        <v>138</v>
      </c>
      <c r="E18" s="64" t="s">
        <v>147</v>
      </c>
      <c r="F18" s="161">
        <v>3</v>
      </c>
      <c r="H18" s="59"/>
      <c r="I18" s="62"/>
      <c r="J18" s="58" t="s">
        <v>140</v>
      </c>
      <c r="K18" s="65">
        <f>+SUMIFS(Tabla1[CANT],Tabla1[VENDEDOR],D6)</f>
        <v>3499</v>
      </c>
      <c r="M18" s="58">
        <v>3499</v>
      </c>
      <c r="N18" s="59"/>
      <c r="O18"/>
    </row>
    <row r="19" spans="1:16" ht="14.4">
      <c r="A19" s="59"/>
      <c r="B19" s="160">
        <v>45496</v>
      </c>
      <c r="C19" s="63">
        <v>57</v>
      </c>
      <c r="D19" s="64" t="s">
        <v>151</v>
      </c>
      <c r="E19" s="64" t="s">
        <v>139</v>
      </c>
      <c r="F19" s="161">
        <v>2</v>
      </c>
      <c r="H19" s="59"/>
      <c r="I19" s="62"/>
      <c r="N19" s="59"/>
      <c r="O19"/>
      <c r="P19"/>
    </row>
    <row r="20" spans="1:16" ht="14.4">
      <c r="A20" s="59"/>
      <c r="B20" s="160">
        <v>45498</v>
      </c>
      <c r="C20" s="63">
        <v>50</v>
      </c>
      <c r="D20" s="64" t="s">
        <v>141</v>
      </c>
      <c r="E20" s="64" t="s">
        <v>153</v>
      </c>
      <c r="F20" s="161">
        <v>3</v>
      </c>
      <c r="H20" s="59"/>
      <c r="I20" s="62">
        <v>6</v>
      </c>
      <c r="J20" s="58" t="s">
        <v>155</v>
      </c>
      <c r="N20" s="59"/>
      <c r="O20"/>
      <c r="P20"/>
    </row>
    <row r="21" spans="1:16" ht="14.4">
      <c r="A21" s="59"/>
      <c r="B21" s="160">
        <v>45498</v>
      </c>
      <c r="C21" s="63">
        <v>80</v>
      </c>
      <c r="D21" s="64" t="s">
        <v>143</v>
      </c>
      <c r="E21" s="64" t="s">
        <v>144</v>
      </c>
      <c r="F21" s="161">
        <v>4</v>
      </c>
      <c r="H21" s="59"/>
      <c r="I21" s="62"/>
      <c r="J21" s="58" t="s">
        <v>140</v>
      </c>
      <c r="K21" s="65">
        <f>SUM(Tabla1[CANT])</f>
        <v>21900</v>
      </c>
      <c r="M21" s="58">
        <v>21900</v>
      </c>
      <c r="N21" s="59"/>
      <c r="O21"/>
      <c r="P21"/>
    </row>
    <row r="22" spans="1:16" ht="14.4">
      <c r="A22" s="59"/>
      <c r="B22" s="160">
        <v>45499</v>
      </c>
      <c r="C22" s="63">
        <v>53</v>
      </c>
      <c r="D22" s="64" t="s">
        <v>150</v>
      </c>
      <c r="E22" s="64" t="s">
        <v>142</v>
      </c>
      <c r="F22" s="161">
        <v>2</v>
      </c>
      <c r="H22" s="59"/>
      <c r="I22" s="62"/>
      <c r="N22" s="59"/>
      <c r="O22"/>
      <c r="P22"/>
    </row>
    <row r="23" spans="1:16" ht="14.4">
      <c r="A23" s="59"/>
      <c r="B23" s="160">
        <v>45500</v>
      </c>
      <c r="C23" s="63">
        <v>90</v>
      </c>
      <c r="D23" s="64" t="s">
        <v>146</v>
      </c>
      <c r="E23" s="64" t="s">
        <v>156</v>
      </c>
      <c r="F23" s="161">
        <v>4</v>
      </c>
      <c r="H23" s="59"/>
      <c r="I23" s="62">
        <v>7</v>
      </c>
      <c r="J23" s="58" t="s">
        <v>157</v>
      </c>
      <c r="N23" s="59"/>
      <c r="O23"/>
      <c r="P23"/>
    </row>
    <row r="24" spans="1:16" ht="14.4">
      <c r="A24" s="59"/>
      <c r="B24" s="160">
        <v>45501</v>
      </c>
      <c r="C24" s="63">
        <v>45</v>
      </c>
      <c r="D24" s="64" t="s">
        <v>138</v>
      </c>
      <c r="E24" s="64" t="s">
        <v>148</v>
      </c>
      <c r="F24" s="161">
        <v>2</v>
      </c>
      <c r="H24" s="59"/>
      <c r="I24" s="62"/>
      <c r="J24" s="58" t="s">
        <v>140</v>
      </c>
      <c r="K24" s="65">
        <f>+SUMIFS(Tabla1[CANT],Tabla1[VENDEDOR],D9)</f>
        <v>3528</v>
      </c>
      <c r="M24" s="58">
        <v>3528</v>
      </c>
      <c r="N24" s="59"/>
      <c r="O24"/>
      <c r="P24"/>
    </row>
    <row r="25" spans="1:16" ht="14.4">
      <c r="A25" s="59"/>
      <c r="B25" s="160">
        <v>45501</v>
      </c>
      <c r="C25" s="63">
        <v>42</v>
      </c>
      <c r="D25" s="64" t="s">
        <v>151</v>
      </c>
      <c r="E25" s="64" t="s">
        <v>147</v>
      </c>
      <c r="F25" s="161">
        <v>2</v>
      </c>
      <c r="H25" s="59"/>
      <c r="I25" s="62"/>
      <c r="N25" s="59"/>
      <c r="O25"/>
      <c r="P25"/>
    </row>
    <row r="26" spans="1:16" ht="14.4">
      <c r="A26" s="59"/>
      <c r="B26" s="160">
        <v>45503</v>
      </c>
      <c r="C26" s="63">
        <v>10</v>
      </c>
      <c r="D26" s="64" t="s">
        <v>141</v>
      </c>
      <c r="E26" s="64" t="s">
        <v>139</v>
      </c>
      <c r="F26" s="161">
        <v>2</v>
      </c>
      <c r="H26" s="59"/>
      <c r="J26" s="58" t="s">
        <v>158</v>
      </c>
      <c r="N26" s="59"/>
      <c r="O26"/>
      <c r="P26"/>
    </row>
    <row r="27" spans="1:16" ht="14.4">
      <c r="A27" s="59"/>
      <c r="B27" s="160">
        <v>45504</v>
      </c>
      <c r="C27" s="63">
        <v>9</v>
      </c>
      <c r="D27" s="64" t="s">
        <v>143</v>
      </c>
      <c r="E27" s="64" t="s">
        <v>153</v>
      </c>
      <c r="F27" s="161">
        <v>2</v>
      </c>
      <c r="H27" s="59"/>
      <c r="K27" s="65">
        <f>+SUMIFS(Tabla1[CANT],Tabla1[VENDEDOR],D13,Tabla1[DPTO],F18)</f>
        <v>565</v>
      </c>
      <c r="M27" s="58">
        <v>565</v>
      </c>
      <c r="N27" s="59"/>
      <c r="O27"/>
      <c r="P27"/>
    </row>
    <row r="28" spans="1:16" ht="14.4">
      <c r="A28" s="59"/>
      <c r="B28" s="160">
        <v>45505</v>
      </c>
      <c r="C28" s="63">
        <v>60</v>
      </c>
      <c r="D28" s="64" t="s">
        <v>150</v>
      </c>
      <c r="E28" s="64" t="s">
        <v>144</v>
      </c>
      <c r="F28" s="161">
        <v>1</v>
      </c>
      <c r="H28" s="59"/>
      <c r="I28" s="59"/>
      <c r="J28" s="59"/>
      <c r="K28" s="59"/>
      <c r="L28" s="59"/>
      <c r="M28" s="59"/>
      <c r="N28" s="59"/>
      <c r="O28"/>
      <c r="P28"/>
    </row>
    <row r="29" spans="1:16" ht="14.4">
      <c r="A29" s="59"/>
      <c r="B29" s="160">
        <v>45505</v>
      </c>
      <c r="C29" s="63">
        <v>28</v>
      </c>
      <c r="D29" s="64" t="s">
        <v>146</v>
      </c>
      <c r="E29" s="64" t="s">
        <v>142</v>
      </c>
      <c r="F29" s="161">
        <v>1</v>
      </c>
      <c r="H29" s="59"/>
      <c r="O29"/>
      <c r="P29"/>
    </row>
    <row r="30" spans="1:16" ht="14.4">
      <c r="A30" s="59"/>
      <c r="B30" s="160">
        <v>45506</v>
      </c>
      <c r="C30" s="63">
        <v>4</v>
      </c>
      <c r="D30" s="64" t="s">
        <v>138</v>
      </c>
      <c r="E30" s="64" t="s">
        <v>156</v>
      </c>
      <c r="F30" s="161">
        <v>3</v>
      </c>
      <c r="H30" s="59"/>
      <c r="O30"/>
      <c r="P30"/>
    </row>
    <row r="31" spans="1:16" ht="14.4">
      <c r="A31" s="59"/>
      <c r="B31" s="160">
        <v>45507</v>
      </c>
      <c r="C31" s="63">
        <v>45</v>
      </c>
      <c r="D31" s="64" t="s">
        <v>151</v>
      </c>
      <c r="E31" s="64" t="s">
        <v>148</v>
      </c>
      <c r="F31" s="161">
        <v>1</v>
      </c>
      <c r="H31" s="59"/>
      <c r="O31"/>
      <c r="P31"/>
    </row>
    <row r="32" spans="1:16" ht="14.4">
      <c r="A32" s="59"/>
      <c r="B32" s="160">
        <v>45507</v>
      </c>
      <c r="C32" s="63">
        <v>43</v>
      </c>
      <c r="D32" s="64" t="s">
        <v>141</v>
      </c>
      <c r="E32" s="64" t="s">
        <v>147</v>
      </c>
      <c r="F32" s="161">
        <v>2</v>
      </c>
      <c r="H32" s="59"/>
      <c r="O32"/>
      <c r="P32"/>
    </row>
    <row r="33" spans="1:16" ht="14.4">
      <c r="A33" s="59"/>
      <c r="B33" s="160">
        <v>45508</v>
      </c>
      <c r="C33" s="63">
        <v>92</v>
      </c>
      <c r="D33" s="64" t="s">
        <v>143</v>
      </c>
      <c r="E33" s="64" t="s">
        <v>139</v>
      </c>
      <c r="F33" s="161">
        <v>2</v>
      </c>
      <c r="H33" s="59"/>
      <c r="O33"/>
      <c r="P33"/>
    </row>
    <row r="34" spans="1:16" ht="14.4">
      <c r="A34" s="59"/>
      <c r="B34" s="160">
        <v>45513</v>
      </c>
      <c r="C34" s="63">
        <v>91</v>
      </c>
      <c r="D34" s="64" t="s">
        <v>150</v>
      </c>
      <c r="E34" s="64" t="s">
        <v>153</v>
      </c>
      <c r="F34" s="161">
        <v>2</v>
      </c>
      <c r="H34" s="59"/>
      <c r="O34"/>
      <c r="P34"/>
    </row>
    <row r="35" spans="1:16" ht="14.4">
      <c r="A35" s="59"/>
      <c r="B35" s="160">
        <v>45515</v>
      </c>
      <c r="C35" s="63">
        <v>69</v>
      </c>
      <c r="D35" s="64" t="s">
        <v>146</v>
      </c>
      <c r="E35" s="64" t="s">
        <v>144</v>
      </c>
      <c r="F35" s="161">
        <v>1</v>
      </c>
      <c r="H35" s="59"/>
      <c r="O35"/>
      <c r="P35"/>
    </row>
    <row r="36" spans="1:16" ht="14.4">
      <c r="A36" s="59"/>
      <c r="B36" s="160">
        <v>45515</v>
      </c>
      <c r="C36" s="63">
        <v>45</v>
      </c>
      <c r="D36" s="64" t="s">
        <v>138</v>
      </c>
      <c r="E36" s="64" t="s">
        <v>142</v>
      </c>
      <c r="F36" s="161">
        <v>2</v>
      </c>
      <c r="H36" s="59"/>
      <c r="O36"/>
      <c r="P36"/>
    </row>
    <row r="37" spans="1:16" ht="14.4">
      <c r="A37" s="59"/>
      <c r="B37" s="160">
        <v>45519</v>
      </c>
      <c r="C37" s="63">
        <v>18</v>
      </c>
      <c r="D37" s="64" t="s">
        <v>151</v>
      </c>
      <c r="E37" s="64" t="s">
        <v>156</v>
      </c>
      <c r="F37" s="161">
        <v>3</v>
      </c>
      <c r="H37" s="59"/>
      <c r="O37"/>
      <c r="P37"/>
    </row>
    <row r="38" spans="1:16" ht="14.4">
      <c r="A38" s="59"/>
      <c r="B38" s="160">
        <v>45521</v>
      </c>
      <c r="C38" s="63">
        <v>43</v>
      </c>
      <c r="D38" s="64" t="s">
        <v>141</v>
      </c>
      <c r="E38" s="64" t="s">
        <v>148</v>
      </c>
      <c r="F38" s="161">
        <v>2</v>
      </c>
      <c r="H38" s="59"/>
      <c r="O38"/>
      <c r="P38"/>
    </row>
    <row r="39" spans="1:16" ht="14.4">
      <c r="A39" s="59"/>
      <c r="B39" s="160">
        <v>45521</v>
      </c>
      <c r="C39" s="63">
        <v>96</v>
      </c>
      <c r="D39" s="64" t="s">
        <v>143</v>
      </c>
      <c r="E39" s="64" t="s">
        <v>147</v>
      </c>
      <c r="F39" s="161">
        <v>3</v>
      </c>
      <c r="H39" s="59"/>
      <c r="O39"/>
      <c r="P39"/>
    </row>
    <row r="40" spans="1:16" ht="14.4">
      <c r="A40" s="59"/>
      <c r="B40" s="160">
        <v>45522</v>
      </c>
      <c r="C40" s="63">
        <v>15</v>
      </c>
      <c r="D40" s="64" t="s">
        <v>150</v>
      </c>
      <c r="E40" s="64" t="s">
        <v>139</v>
      </c>
      <c r="F40" s="161">
        <v>4</v>
      </c>
      <c r="H40" s="59"/>
      <c r="O40"/>
      <c r="P40"/>
    </row>
    <row r="41" spans="1:16" ht="14.4">
      <c r="A41" s="59"/>
      <c r="B41" s="160">
        <v>45523</v>
      </c>
      <c r="C41" s="63">
        <v>98</v>
      </c>
      <c r="D41" s="64" t="s">
        <v>146</v>
      </c>
      <c r="E41" s="64" t="s">
        <v>153</v>
      </c>
      <c r="F41" s="161">
        <v>4</v>
      </c>
      <c r="H41" s="59"/>
      <c r="O41"/>
      <c r="P41"/>
    </row>
    <row r="42" spans="1:16" ht="14.4">
      <c r="A42" s="59"/>
      <c r="B42" s="160">
        <v>45524</v>
      </c>
      <c r="C42" s="63">
        <v>87</v>
      </c>
      <c r="D42" s="64" t="s">
        <v>138</v>
      </c>
      <c r="E42" s="64" t="s">
        <v>144</v>
      </c>
      <c r="F42" s="161">
        <v>3</v>
      </c>
      <c r="H42" s="59"/>
      <c r="O42"/>
      <c r="P42"/>
    </row>
    <row r="43" spans="1:16" ht="14.4">
      <c r="A43" s="59"/>
      <c r="B43" s="160">
        <v>45526</v>
      </c>
      <c r="C43" s="63">
        <v>38</v>
      </c>
      <c r="D43" s="64" t="s">
        <v>151</v>
      </c>
      <c r="E43" s="64" t="s">
        <v>142</v>
      </c>
      <c r="F43" s="161">
        <v>3</v>
      </c>
      <c r="H43" s="59"/>
      <c r="O43"/>
      <c r="P43"/>
    </row>
    <row r="44" spans="1:16" ht="14.4">
      <c r="A44" s="59"/>
      <c r="B44" s="160">
        <v>45526</v>
      </c>
      <c r="C44" s="63">
        <v>15</v>
      </c>
      <c r="D44" s="64" t="s">
        <v>141</v>
      </c>
      <c r="E44" s="64" t="s">
        <v>156</v>
      </c>
      <c r="F44" s="161">
        <v>4</v>
      </c>
      <c r="H44" s="59"/>
      <c r="O44"/>
      <c r="P44"/>
    </row>
    <row r="45" spans="1:16" ht="14.4">
      <c r="A45" s="59"/>
      <c r="B45" s="160">
        <v>45527</v>
      </c>
      <c r="C45" s="63">
        <v>23</v>
      </c>
      <c r="D45" s="64" t="s">
        <v>143</v>
      </c>
      <c r="E45" s="64" t="s">
        <v>148</v>
      </c>
      <c r="F45" s="161">
        <v>1</v>
      </c>
      <c r="H45" s="59"/>
      <c r="O45"/>
      <c r="P45"/>
    </row>
    <row r="46" spans="1:16" ht="14.4">
      <c r="A46" s="59"/>
      <c r="B46" s="160">
        <v>45528</v>
      </c>
      <c r="C46" s="63">
        <v>98</v>
      </c>
      <c r="D46" s="64" t="s">
        <v>150</v>
      </c>
      <c r="E46" s="64" t="s">
        <v>147</v>
      </c>
      <c r="F46" s="161">
        <v>4</v>
      </c>
      <c r="H46" s="59"/>
      <c r="O46"/>
      <c r="P46"/>
    </row>
    <row r="47" spans="1:16" ht="14.4">
      <c r="A47" s="59"/>
      <c r="B47" s="160">
        <v>45528</v>
      </c>
      <c r="C47" s="63">
        <v>41</v>
      </c>
      <c r="D47" s="64" t="s">
        <v>146</v>
      </c>
      <c r="E47" s="64" t="s">
        <v>139</v>
      </c>
      <c r="F47" s="161">
        <v>1</v>
      </c>
      <c r="H47" s="59"/>
      <c r="O47"/>
      <c r="P47"/>
    </row>
    <row r="48" spans="1:16" ht="14.4">
      <c r="A48" s="59"/>
      <c r="B48" s="160">
        <v>45528</v>
      </c>
      <c r="C48" s="63">
        <v>89</v>
      </c>
      <c r="D48" s="64" t="s">
        <v>138</v>
      </c>
      <c r="E48" s="64" t="s">
        <v>153</v>
      </c>
      <c r="F48" s="161">
        <v>2</v>
      </c>
      <c r="H48" s="59"/>
      <c r="O48"/>
      <c r="P48"/>
    </row>
    <row r="49" spans="1:16" ht="14.4">
      <c r="A49" s="59"/>
      <c r="B49" s="160">
        <v>45530</v>
      </c>
      <c r="C49" s="63">
        <v>76</v>
      </c>
      <c r="D49" s="64" t="s">
        <v>151</v>
      </c>
      <c r="E49" s="64" t="s">
        <v>144</v>
      </c>
      <c r="F49" s="161">
        <v>2</v>
      </c>
      <c r="H49" s="59"/>
      <c r="O49"/>
      <c r="P49"/>
    </row>
    <row r="50" spans="1:16" ht="14.4">
      <c r="A50" s="59"/>
      <c r="B50" s="160">
        <v>45531</v>
      </c>
      <c r="C50" s="63">
        <v>22</v>
      </c>
      <c r="D50" s="64" t="s">
        <v>141</v>
      </c>
      <c r="E50" s="64" t="s">
        <v>142</v>
      </c>
      <c r="F50" s="161">
        <v>2</v>
      </c>
      <c r="H50" s="59"/>
      <c r="O50"/>
      <c r="P50"/>
    </row>
    <row r="51" spans="1:16" ht="14.4">
      <c r="A51" s="59"/>
      <c r="B51" s="160">
        <v>45532</v>
      </c>
      <c r="C51" s="63">
        <v>49</v>
      </c>
      <c r="D51" s="64" t="s">
        <v>143</v>
      </c>
      <c r="E51" s="64" t="s">
        <v>156</v>
      </c>
      <c r="F51" s="161">
        <v>3</v>
      </c>
      <c r="H51" s="59"/>
      <c r="O51"/>
      <c r="P51"/>
    </row>
    <row r="52" spans="1:16" ht="14.4">
      <c r="A52" s="59"/>
      <c r="B52" s="160">
        <v>45533</v>
      </c>
      <c r="C52" s="63">
        <v>98</v>
      </c>
      <c r="D52" s="64" t="s">
        <v>150</v>
      </c>
      <c r="E52" s="64" t="s">
        <v>148</v>
      </c>
      <c r="F52" s="161">
        <v>3</v>
      </c>
      <c r="H52" s="59"/>
      <c r="O52"/>
      <c r="P52"/>
    </row>
    <row r="53" spans="1:16" ht="14.4">
      <c r="A53" s="59"/>
      <c r="B53" s="160">
        <v>45535</v>
      </c>
      <c r="C53" s="63">
        <v>83</v>
      </c>
      <c r="D53" s="64" t="s">
        <v>146</v>
      </c>
      <c r="E53" s="64" t="s">
        <v>147</v>
      </c>
      <c r="F53" s="161">
        <v>3</v>
      </c>
      <c r="H53" s="59"/>
      <c r="O53"/>
      <c r="P53"/>
    </row>
    <row r="54" spans="1:16" ht="14.4">
      <c r="A54" s="59"/>
      <c r="B54" s="160">
        <v>45537</v>
      </c>
      <c r="C54" s="63">
        <v>16</v>
      </c>
      <c r="D54" s="64" t="s">
        <v>138</v>
      </c>
      <c r="E54" s="64" t="s">
        <v>139</v>
      </c>
      <c r="F54" s="161">
        <v>2</v>
      </c>
      <c r="H54" s="59"/>
      <c r="O54"/>
      <c r="P54"/>
    </row>
    <row r="55" spans="1:16" ht="14.4">
      <c r="A55" s="59"/>
      <c r="B55" s="160">
        <v>45537</v>
      </c>
      <c r="C55" s="63">
        <v>1</v>
      </c>
      <c r="D55" s="64" t="s">
        <v>151</v>
      </c>
      <c r="E55" s="64" t="s">
        <v>153</v>
      </c>
      <c r="F55" s="161">
        <v>3</v>
      </c>
      <c r="H55" s="59"/>
      <c r="O55"/>
      <c r="P55"/>
    </row>
    <row r="56" spans="1:16" ht="14.4">
      <c r="A56" s="59"/>
      <c r="B56" s="160">
        <v>45538</v>
      </c>
      <c r="C56" s="63">
        <v>97</v>
      </c>
      <c r="D56" s="64" t="s">
        <v>141</v>
      </c>
      <c r="E56" s="64" t="s">
        <v>144</v>
      </c>
      <c r="F56" s="161">
        <v>3</v>
      </c>
      <c r="H56" s="59"/>
      <c r="O56"/>
      <c r="P56"/>
    </row>
    <row r="57" spans="1:16" ht="14.4">
      <c r="A57" s="59"/>
      <c r="B57" s="160">
        <v>45539</v>
      </c>
      <c r="C57" s="63">
        <v>4</v>
      </c>
      <c r="D57" s="64" t="s">
        <v>143</v>
      </c>
      <c r="E57" s="64" t="s">
        <v>142</v>
      </c>
      <c r="F57" s="161">
        <v>3</v>
      </c>
      <c r="H57" s="59"/>
      <c r="O57"/>
      <c r="P57"/>
    </row>
    <row r="58" spans="1:16" ht="14.4">
      <c r="A58" s="59"/>
      <c r="B58" s="160">
        <v>45539</v>
      </c>
      <c r="C58" s="63">
        <v>52</v>
      </c>
      <c r="D58" s="64" t="s">
        <v>150</v>
      </c>
      <c r="E58" s="64" t="s">
        <v>156</v>
      </c>
      <c r="F58" s="161">
        <v>3</v>
      </c>
      <c r="H58" s="59"/>
      <c r="O58"/>
      <c r="P58"/>
    </row>
    <row r="59" spans="1:16" ht="14.4">
      <c r="A59" s="59"/>
      <c r="B59" s="160">
        <v>45540</v>
      </c>
      <c r="C59" s="63">
        <v>81</v>
      </c>
      <c r="D59" s="64" t="s">
        <v>146</v>
      </c>
      <c r="E59" s="64" t="s">
        <v>148</v>
      </c>
      <c r="F59" s="161">
        <v>2</v>
      </c>
      <c r="H59" s="59"/>
      <c r="O59"/>
      <c r="P59"/>
    </row>
    <row r="60" spans="1:16" ht="14.4">
      <c r="A60" s="59"/>
      <c r="B60" s="160">
        <v>45541</v>
      </c>
      <c r="C60" s="63">
        <v>68</v>
      </c>
      <c r="D60" s="64" t="s">
        <v>138</v>
      </c>
      <c r="E60" s="64" t="s">
        <v>147</v>
      </c>
      <c r="F60" s="161">
        <v>1</v>
      </c>
      <c r="H60" s="59"/>
      <c r="O60"/>
      <c r="P60"/>
    </row>
    <row r="61" spans="1:16" ht="14.4">
      <c r="A61" s="59"/>
      <c r="B61" s="160">
        <v>45541</v>
      </c>
      <c r="C61" s="63">
        <v>66</v>
      </c>
      <c r="D61" s="64" t="s">
        <v>151</v>
      </c>
      <c r="E61" s="64" t="s">
        <v>139</v>
      </c>
      <c r="F61" s="161">
        <v>2</v>
      </c>
      <c r="H61" s="59"/>
      <c r="O61"/>
      <c r="P61"/>
    </row>
    <row r="62" spans="1:16" ht="14.4">
      <c r="A62" s="59"/>
      <c r="B62" s="160">
        <v>45544</v>
      </c>
      <c r="C62" s="63">
        <v>46</v>
      </c>
      <c r="D62" s="64" t="s">
        <v>141</v>
      </c>
      <c r="E62" s="64" t="s">
        <v>153</v>
      </c>
      <c r="F62" s="161">
        <v>4</v>
      </c>
      <c r="H62" s="59"/>
      <c r="O62"/>
      <c r="P62"/>
    </row>
    <row r="63" spans="1:16" ht="14.4">
      <c r="A63" s="59"/>
      <c r="B63" s="160">
        <v>45544</v>
      </c>
      <c r="C63" s="63">
        <v>61</v>
      </c>
      <c r="D63" s="64" t="s">
        <v>143</v>
      </c>
      <c r="E63" s="64" t="s">
        <v>144</v>
      </c>
      <c r="F63" s="161">
        <v>2</v>
      </c>
      <c r="H63" s="59"/>
      <c r="O63"/>
      <c r="P63"/>
    </row>
    <row r="64" spans="1:16" ht="14.4">
      <c r="A64" s="59"/>
      <c r="B64" s="160">
        <v>45545</v>
      </c>
      <c r="C64" s="63">
        <v>47</v>
      </c>
      <c r="D64" s="64" t="s">
        <v>150</v>
      </c>
      <c r="E64" s="64" t="s">
        <v>142</v>
      </c>
      <c r="F64" s="161">
        <v>3</v>
      </c>
      <c r="H64" s="59"/>
      <c r="O64"/>
      <c r="P64"/>
    </row>
    <row r="65" spans="1:16" ht="14.4">
      <c r="A65" s="59"/>
      <c r="B65" s="160">
        <v>45546</v>
      </c>
      <c r="C65" s="63">
        <v>38</v>
      </c>
      <c r="D65" s="64" t="s">
        <v>146</v>
      </c>
      <c r="E65" s="64" t="s">
        <v>156</v>
      </c>
      <c r="F65" s="161">
        <v>3</v>
      </c>
      <c r="H65" s="59"/>
      <c r="O65"/>
      <c r="P65"/>
    </row>
    <row r="66" spans="1:16" ht="14.4">
      <c r="A66" s="59"/>
      <c r="B66" s="160">
        <v>45552</v>
      </c>
      <c r="C66" s="63">
        <v>95</v>
      </c>
      <c r="D66" s="64" t="s">
        <v>138</v>
      </c>
      <c r="E66" s="64" t="s">
        <v>148</v>
      </c>
      <c r="F66" s="161">
        <v>3</v>
      </c>
      <c r="H66" s="59"/>
      <c r="O66"/>
      <c r="P66"/>
    </row>
    <row r="67" spans="1:16" ht="14.4">
      <c r="A67" s="59"/>
      <c r="B67" s="160">
        <v>45552</v>
      </c>
      <c r="C67" s="63">
        <v>23</v>
      </c>
      <c r="D67" s="64" t="s">
        <v>151</v>
      </c>
      <c r="E67" s="64" t="s">
        <v>147</v>
      </c>
      <c r="F67" s="161">
        <v>3</v>
      </c>
      <c r="H67" s="59"/>
      <c r="O67"/>
      <c r="P67"/>
    </row>
    <row r="68" spans="1:16" ht="14.4">
      <c r="A68" s="59"/>
      <c r="B68" s="160">
        <v>45553</v>
      </c>
      <c r="C68" s="63">
        <v>78</v>
      </c>
      <c r="D68" s="64" t="s">
        <v>141</v>
      </c>
      <c r="E68" s="64" t="s">
        <v>139</v>
      </c>
      <c r="F68" s="161">
        <v>3</v>
      </c>
      <c r="H68" s="59"/>
      <c r="O68"/>
      <c r="P68"/>
    </row>
    <row r="69" spans="1:16" ht="14.4">
      <c r="A69" s="59"/>
      <c r="B69" s="160">
        <v>45554</v>
      </c>
      <c r="C69" s="63">
        <v>3</v>
      </c>
      <c r="D69" s="64" t="s">
        <v>143</v>
      </c>
      <c r="E69" s="64" t="s">
        <v>153</v>
      </c>
      <c r="F69" s="161">
        <v>1</v>
      </c>
      <c r="H69" s="59"/>
      <c r="O69"/>
      <c r="P69"/>
    </row>
    <row r="70" spans="1:16" ht="14.4">
      <c r="A70" s="59"/>
      <c r="B70" s="160">
        <v>45554</v>
      </c>
      <c r="C70" s="63">
        <v>38</v>
      </c>
      <c r="D70" s="64" t="s">
        <v>150</v>
      </c>
      <c r="E70" s="64" t="s">
        <v>144</v>
      </c>
      <c r="F70" s="161">
        <v>2</v>
      </c>
      <c r="H70" s="59"/>
      <c r="O70"/>
      <c r="P70"/>
    </row>
    <row r="71" spans="1:16" ht="14.4">
      <c r="A71" s="59"/>
      <c r="B71" s="160">
        <v>45554</v>
      </c>
      <c r="C71" s="63">
        <v>73</v>
      </c>
      <c r="D71" s="64" t="s">
        <v>146</v>
      </c>
      <c r="E71" s="64" t="s">
        <v>142</v>
      </c>
      <c r="F71" s="161">
        <v>2</v>
      </c>
      <c r="H71" s="59"/>
      <c r="O71"/>
      <c r="P71"/>
    </row>
    <row r="72" spans="1:16" ht="14.4">
      <c r="A72" s="59"/>
      <c r="B72" s="160">
        <v>45554</v>
      </c>
      <c r="C72" s="63">
        <v>18</v>
      </c>
      <c r="D72" s="64" t="s">
        <v>138</v>
      </c>
      <c r="E72" s="64" t="s">
        <v>156</v>
      </c>
      <c r="F72" s="161">
        <v>1</v>
      </c>
      <c r="H72" s="59"/>
      <c r="O72"/>
      <c r="P72"/>
    </row>
    <row r="73" spans="1:16" ht="14.4">
      <c r="A73" s="59"/>
      <c r="B73" s="160">
        <v>45554</v>
      </c>
      <c r="C73" s="63">
        <v>88</v>
      </c>
      <c r="D73" s="64" t="s">
        <v>151</v>
      </c>
      <c r="E73" s="64" t="s">
        <v>148</v>
      </c>
      <c r="F73" s="161">
        <v>1</v>
      </c>
      <c r="H73" s="59"/>
      <c r="O73"/>
      <c r="P73"/>
    </row>
    <row r="74" spans="1:16" ht="14.4">
      <c r="A74" s="59"/>
      <c r="B74" s="160">
        <v>45555</v>
      </c>
      <c r="C74" s="63">
        <v>36</v>
      </c>
      <c r="D74" s="64" t="s">
        <v>141</v>
      </c>
      <c r="E74" s="64" t="s">
        <v>147</v>
      </c>
      <c r="F74" s="161">
        <v>4</v>
      </c>
      <c r="H74" s="59"/>
      <c r="O74"/>
      <c r="P74"/>
    </row>
    <row r="75" spans="1:16" ht="14.4">
      <c r="A75" s="59"/>
      <c r="B75" s="160">
        <v>45556</v>
      </c>
      <c r="C75" s="63">
        <v>76</v>
      </c>
      <c r="D75" s="64" t="s">
        <v>143</v>
      </c>
      <c r="E75" s="64" t="s">
        <v>139</v>
      </c>
      <c r="F75" s="161">
        <v>2</v>
      </c>
      <c r="H75" s="59"/>
      <c r="O75"/>
      <c r="P75"/>
    </row>
    <row r="76" spans="1:16" ht="14.4">
      <c r="A76" s="59"/>
      <c r="B76" s="160">
        <v>45557</v>
      </c>
      <c r="C76" s="63">
        <v>24</v>
      </c>
      <c r="D76" s="64" t="s">
        <v>150</v>
      </c>
      <c r="E76" s="64" t="s">
        <v>153</v>
      </c>
      <c r="F76" s="161">
        <v>1</v>
      </c>
      <c r="H76" s="59"/>
      <c r="O76"/>
      <c r="P76"/>
    </row>
    <row r="77" spans="1:16" ht="14.4">
      <c r="A77" s="59"/>
      <c r="B77" s="160">
        <v>45559</v>
      </c>
      <c r="C77" s="63">
        <v>35</v>
      </c>
      <c r="D77" s="64" t="s">
        <v>146</v>
      </c>
      <c r="E77" s="64" t="s">
        <v>144</v>
      </c>
      <c r="F77" s="161">
        <v>1</v>
      </c>
      <c r="H77" s="59"/>
      <c r="O77"/>
      <c r="P77"/>
    </row>
    <row r="78" spans="1:16" ht="14.4">
      <c r="A78" s="59"/>
      <c r="B78" s="160">
        <v>45560</v>
      </c>
      <c r="C78" s="63">
        <v>58</v>
      </c>
      <c r="D78" s="64" t="s">
        <v>138</v>
      </c>
      <c r="E78" s="64" t="s">
        <v>142</v>
      </c>
      <c r="F78" s="161">
        <v>4</v>
      </c>
      <c r="H78" s="59"/>
      <c r="O78"/>
      <c r="P78"/>
    </row>
    <row r="79" spans="1:16" ht="14.4">
      <c r="A79" s="59"/>
      <c r="B79" s="160">
        <v>45560</v>
      </c>
      <c r="C79" s="63">
        <v>36</v>
      </c>
      <c r="D79" s="64" t="s">
        <v>151</v>
      </c>
      <c r="E79" s="64" t="s">
        <v>156</v>
      </c>
      <c r="F79" s="161">
        <v>4</v>
      </c>
      <c r="H79" s="59"/>
      <c r="O79"/>
      <c r="P79"/>
    </row>
    <row r="80" spans="1:16" ht="14.4">
      <c r="A80" s="59"/>
      <c r="B80" s="160">
        <v>45562</v>
      </c>
      <c r="C80" s="63">
        <v>21</v>
      </c>
      <c r="D80" s="64" t="s">
        <v>141</v>
      </c>
      <c r="E80" s="64" t="s">
        <v>148</v>
      </c>
      <c r="F80" s="161">
        <v>4</v>
      </c>
      <c r="H80" s="59"/>
      <c r="O80"/>
      <c r="P80"/>
    </row>
    <row r="81" spans="1:16" ht="14.4">
      <c r="A81" s="59"/>
      <c r="B81" s="160">
        <v>45564</v>
      </c>
      <c r="C81" s="63">
        <v>63</v>
      </c>
      <c r="D81" s="64" t="s">
        <v>143</v>
      </c>
      <c r="E81" s="64" t="s">
        <v>147</v>
      </c>
      <c r="F81" s="161">
        <v>1</v>
      </c>
      <c r="H81" s="59"/>
      <c r="O81"/>
      <c r="P81"/>
    </row>
    <row r="82" spans="1:16" ht="14.4">
      <c r="A82" s="59"/>
      <c r="B82" s="160">
        <v>45567</v>
      </c>
      <c r="C82" s="63">
        <v>96</v>
      </c>
      <c r="D82" s="64" t="s">
        <v>150</v>
      </c>
      <c r="E82" s="64" t="s">
        <v>139</v>
      </c>
      <c r="F82" s="161">
        <v>1</v>
      </c>
      <c r="H82" s="59"/>
      <c r="O82"/>
      <c r="P82"/>
    </row>
    <row r="83" spans="1:16" ht="14.4">
      <c r="A83" s="59"/>
      <c r="B83" s="160">
        <v>45568</v>
      </c>
      <c r="C83" s="63">
        <v>14</v>
      </c>
      <c r="D83" s="64" t="s">
        <v>146</v>
      </c>
      <c r="E83" s="64" t="s">
        <v>153</v>
      </c>
      <c r="F83" s="161">
        <v>3</v>
      </c>
      <c r="H83" s="59"/>
      <c r="O83"/>
      <c r="P83"/>
    </row>
    <row r="84" spans="1:16" ht="14.4">
      <c r="A84" s="59"/>
      <c r="B84" s="160">
        <v>45569</v>
      </c>
      <c r="C84" s="63">
        <v>68</v>
      </c>
      <c r="D84" s="64" t="s">
        <v>138</v>
      </c>
      <c r="E84" s="64" t="s">
        <v>144</v>
      </c>
      <c r="F84" s="161">
        <v>3</v>
      </c>
      <c r="H84" s="59"/>
      <c r="O84"/>
      <c r="P84"/>
    </row>
    <row r="85" spans="1:16" ht="14.4">
      <c r="A85" s="59"/>
      <c r="B85" s="160">
        <v>45570</v>
      </c>
      <c r="C85" s="63">
        <v>29</v>
      </c>
      <c r="D85" s="64" t="s">
        <v>151</v>
      </c>
      <c r="E85" s="64" t="s">
        <v>142</v>
      </c>
      <c r="F85" s="161">
        <v>4</v>
      </c>
      <c r="H85" s="59"/>
      <c r="O85"/>
      <c r="P85"/>
    </row>
    <row r="86" spans="1:16" ht="14.4">
      <c r="A86" s="59"/>
      <c r="B86" s="160">
        <v>45570</v>
      </c>
      <c r="C86" s="63">
        <v>28</v>
      </c>
      <c r="D86" s="64" t="s">
        <v>141</v>
      </c>
      <c r="E86" s="64" t="s">
        <v>156</v>
      </c>
      <c r="F86" s="161">
        <v>3</v>
      </c>
      <c r="H86" s="59"/>
      <c r="O86"/>
      <c r="P86"/>
    </row>
    <row r="87" spans="1:16" ht="14.4">
      <c r="A87" s="59"/>
      <c r="B87" s="160">
        <v>45570</v>
      </c>
      <c r="C87" s="63">
        <v>87</v>
      </c>
      <c r="D87" s="64" t="s">
        <v>143</v>
      </c>
      <c r="E87" s="64" t="s">
        <v>148</v>
      </c>
      <c r="F87" s="161">
        <v>1</v>
      </c>
      <c r="H87" s="59"/>
      <c r="O87"/>
      <c r="P87"/>
    </row>
    <row r="88" spans="1:16" ht="14.4">
      <c r="A88" s="59"/>
      <c r="B88" s="160">
        <v>45573</v>
      </c>
      <c r="C88" s="63">
        <v>14</v>
      </c>
      <c r="D88" s="64" t="s">
        <v>150</v>
      </c>
      <c r="E88" s="64" t="s">
        <v>147</v>
      </c>
      <c r="F88" s="161">
        <v>3</v>
      </c>
      <c r="H88" s="59"/>
      <c r="O88"/>
      <c r="P88"/>
    </row>
    <row r="89" spans="1:16" ht="14.4">
      <c r="A89" s="59"/>
      <c r="B89" s="160">
        <v>45575</v>
      </c>
      <c r="C89" s="63">
        <v>64</v>
      </c>
      <c r="D89" s="64" t="s">
        <v>146</v>
      </c>
      <c r="E89" s="64" t="s">
        <v>139</v>
      </c>
      <c r="F89" s="161">
        <v>4</v>
      </c>
      <c r="H89" s="59"/>
      <c r="O89"/>
      <c r="P89"/>
    </row>
    <row r="90" spans="1:16" ht="14.4">
      <c r="A90" s="59"/>
      <c r="B90" s="160">
        <v>45576</v>
      </c>
      <c r="C90" s="63">
        <v>19</v>
      </c>
      <c r="D90" s="64" t="s">
        <v>138</v>
      </c>
      <c r="E90" s="64" t="s">
        <v>153</v>
      </c>
      <c r="F90" s="161">
        <v>2</v>
      </c>
      <c r="H90" s="59"/>
      <c r="O90"/>
      <c r="P90"/>
    </row>
    <row r="91" spans="1:16" ht="14.4">
      <c r="A91" s="59"/>
      <c r="B91" s="160">
        <v>45576</v>
      </c>
      <c r="C91" s="63">
        <v>55</v>
      </c>
      <c r="D91" s="64" t="s">
        <v>151</v>
      </c>
      <c r="E91" s="64" t="s">
        <v>144</v>
      </c>
      <c r="F91" s="161">
        <v>2</v>
      </c>
      <c r="H91" s="59"/>
      <c r="O91"/>
      <c r="P91"/>
    </row>
    <row r="92" spans="1:16" ht="14.4">
      <c r="A92" s="59"/>
      <c r="B92" s="160">
        <v>45579</v>
      </c>
      <c r="C92" s="63">
        <v>52</v>
      </c>
      <c r="D92" s="64" t="s">
        <v>141</v>
      </c>
      <c r="E92" s="64" t="s">
        <v>142</v>
      </c>
      <c r="F92" s="161">
        <v>3</v>
      </c>
      <c r="H92" s="59"/>
      <c r="O92"/>
      <c r="P92"/>
    </row>
    <row r="93" spans="1:16" ht="14.4">
      <c r="A93" s="59"/>
      <c r="B93" s="160">
        <v>45581</v>
      </c>
      <c r="C93" s="63">
        <v>25</v>
      </c>
      <c r="D93" s="64" t="s">
        <v>143</v>
      </c>
      <c r="E93" s="64" t="s">
        <v>156</v>
      </c>
      <c r="F93" s="161">
        <v>2</v>
      </c>
      <c r="H93" s="59"/>
      <c r="O93"/>
      <c r="P93"/>
    </row>
    <row r="94" spans="1:16" ht="14.4">
      <c r="A94" s="59"/>
      <c r="B94" s="160">
        <v>45581</v>
      </c>
      <c r="C94" s="63">
        <v>99</v>
      </c>
      <c r="D94" s="64" t="s">
        <v>150</v>
      </c>
      <c r="E94" s="64" t="s">
        <v>148</v>
      </c>
      <c r="F94" s="161">
        <v>4</v>
      </c>
      <c r="H94" s="59"/>
      <c r="O94"/>
      <c r="P94"/>
    </row>
    <row r="95" spans="1:16" ht="14.4">
      <c r="A95" s="59"/>
      <c r="B95" s="160">
        <v>45583</v>
      </c>
      <c r="C95" s="63">
        <v>28</v>
      </c>
      <c r="D95" s="64" t="s">
        <v>146</v>
      </c>
      <c r="E95" s="64" t="s">
        <v>147</v>
      </c>
      <c r="F95" s="161">
        <v>3</v>
      </c>
      <c r="H95" s="59"/>
      <c r="O95"/>
      <c r="P95"/>
    </row>
    <row r="96" spans="1:16" ht="14.4">
      <c r="A96" s="59"/>
      <c r="B96" s="160">
        <v>45585</v>
      </c>
      <c r="C96" s="63">
        <v>44</v>
      </c>
      <c r="D96" s="64" t="s">
        <v>138</v>
      </c>
      <c r="E96" s="64" t="s">
        <v>139</v>
      </c>
      <c r="F96" s="161">
        <v>4</v>
      </c>
      <c r="H96" s="59"/>
      <c r="O96"/>
      <c r="P96"/>
    </row>
    <row r="97" spans="1:16" ht="14.4">
      <c r="A97" s="59"/>
      <c r="B97" s="160">
        <v>45585</v>
      </c>
      <c r="C97" s="63">
        <v>33</v>
      </c>
      <c r="D97" s="64" t="s">
        <v>151</v>
      </c>
      <c r="E97" s="64" t="s">
        <v>153</v>
      </c>
      <c r="F97" s="161">
        <v>1</v>
      </c>
      <c r="H97" s="59"/>
      <c r="O97"/>
      <c r="P97"/>
    </row>
    <row r="98" spans="1:16" ht="14.4">
      <c r="A98" s="59"/>
      <c r="B98" s="160">
        <v>45586</v>
      </c>
      <c r="C98" s="63">
        <v>89</v>
      </c>
      <c r="D98" s="64" t="s">
        <v>141</v>
      </c>
      <c r="E98" s="64" t="s">
        <v>144</v>
      </c>
      <c r="F98" s="161">
        <v>1</v>
      </c>
      <c r="H98" s="59"/>
      <c r="O98"/>
      <c r="P98"/>
    </row>
    <row r="99" spans="1:16" ht="14.4">
      <c r="A99" s="59"/>
      <c r="B99" s="160">
        <v>45587</v>
      </c>
      <c r="C99" s="63">
        <v>7</v>
      </c>
      <c r="D99" s="64" t="s">
        <v>143</v>
      </c>
      <c r="E99" s="64" t="s">
        <v>142</v>
      </c>
      <c r="F99" s="161">
        <v>2</v>
      </c>
      <c r="H99" s="59"/>
      <c r="O99"/>
      <c r="P99"/>
    </row>
    <row r="100" spans="1:16" ht="14.4">
      <c r="A100" s="59"/>
      <c r="B100" s="160">
        <v>45588</v>
      </c>
      <c r="C100" s="63">
        <v>70</v>
      </c>
      <c r="D100" s="64" t="s">
        <v>150</v>
      </c>
      <c r="E100" s="64" t="s">
        <v>156</v>
      </c>
      <c r="F100" s="161">
        <v>2</v>
      </c>
      <c r="H100" s="59"/>
      <c r="O100"/>
      <c r="P100"/>
    </row>
    <row r="101" spans="1:16" ht="14.4">
      <c r="A101" s="59"/>
      <c r="B101" s="160">
        <v>45590</v>
      </c>
      <c r="C101" s="63">
        <v>95</v>
      </c>
      <c r="D101" s="64" t="s">
        <v>146</v>
      </c>
      <c r="E101" s="64" t="s">
        <v>148</v>
      </c>
      <c r="F101" s="161">
        <v>1</v>
      </c>
      <c r="H101" s="59"/>
      <c r="O101"/>
      <c r="P101"/>
    </row>
    <row r="102" spans="1:16" ht="14.4">
      <c r="A102" s="59"/>
      <c r="B102" s="160">
        <v>45591</v>
      </c>
      <c r="C102" s="63">
        <v>57</v>
      </c>
      <c r="D102" s="64" t="s">
        <v>138</v>
      </c>
      <c r="E102" s="64" t="s">
        <v>147</v>
      </c>
      <c r="F102" s="161">
        <v>1</v>
      </c>
      <c r="H102" s="59"/>
      <c r="O102"/>
      <c r="P102"/>
    </row>
    <row r="103" spans="1:16" ht="14.4">
      <c r="A103" s="59"/>
      <c r="B103" s="160">
        <v>45592</v>
      </c>
      <c r="C103" s="63">
        <v>79</v>
      </c>
      <c r="D103" s="64" t="s">
        <v>151</v>
      </c>
      <c r="E103" s="64" t="s">
        <v>139</v>
      </c>
      <c r="F103" s="161">
        <v>3</v>
      </c>
      <c r="H103" s="59"/>
      <c r="O103"/>
      <c r="P103"/>
    </row>
    <row r="104" spans="1:16" ht="14.4">
      <c r="A104" s="59"/>
      <c r="B104" s="160">
        <v>45593</v>
      </c>
      <c r="C104" s="63">
        <v>97</v>
      </c>
      <c r="D104" s="64" t="s">
        <v>141</v>
      </c>
      <c r="E104" s="64" t="s">
        <v>153</v>
      </c>
      <c r="F104" s="161">
        <v>3</v>
      </c>
      <c r="H104" s="59"/>
      <c r="O104"/>
      <c r="P104"/>
    </row>
    <row r="105" spans="1:16" ht="14.4">
      <c r="A105" s="59"/>
      <c r="B105" s="160">
        <v>45594</v>
      </c>
      <c r="C105" s="63">
        <v>80</v>
      </c>
      <c r="D105" s="64" t="s">
        <v>143</v>
      </c>
      <c r="E105" s="64" t="s">
        <v>144</v>
      </c>
      <c r="F105" s="161">
        <v>4</v>
      </c>
      <c r="H105" s="59"/>
      <c r="O105"/>
      <c r="P105"/>
    </row>
    <row r="106" spans="1:16" ht="14.4">
      <c r="A106" s="59"/>
      <c r="B106" s="160">
        <v>45594</v>
      </c>
      <c r="C106" s="63">
        <v>56</v>
      </c>
      <c r="D106" s="64" t="s">
        <v>150</v>
      </c>
      <c r="E106" s="64" t="s">
        <v>142</v>
      </c>
      <c r="F106" s="161">
        <v>3</v>
      </c>
      <c r="H106" s="59"/>
      <c r="O106"/>
      <c r="P106"/>
    </row>
    <row r="107" spans="1:16" ht="14.4">
      <c r="A107" s="59"/>
      <c r="B107" s="160">
        <v>45594</v>
      </c>
      <c r="C107" s="63">
        <v>56</v>
      </c>
      <c r="D107" s="64" t="s">
        <v>146</v>
      </c>
      <c r="E107" s="64" t="s">
        <v>156</v>
      </c>
      <c r="F107" s="161">
        <v>3</v>
      </c>
      <c r="H107" s="59"/>
      <c r="O107"/>
      <c r="P107"/>
    </row>
    <row r="108" spans="1:16" ht="14.4">
      <c r="A108" s="59"/>
      <c r="B108" s="160">
        <v>45595</v>
      </c>
      <c r="C108" s="63">
        <v>16</v>
      </c>
      <c r="D108" s="64" t="s">
        <v>138</v>
      </c>
      <c r="E108" s="64" t="s">
        <v>148</v>
      </c>
      <c r="F108" s="161">
        <v>1</v>
      </c>
      <c r="H108" s="59"/>
      <c r="O108"/>
      <c r="P108"/>
    </row>
    <row r="109" spans="1:16" ht="14.4">
      <c r="A109" s="59"/>
      <c r="B109" s="160">
        <v>45595</v>
      </c>
      <c r="C109" s="63">
        <v>47</v>
      </c>
      <c r="D109" s="64" t="s">
        <v>151</v>
      </c>
      <c r="E109" s="64" t="s">
        <v>147</v>
      </c>
      <c r="F109" s="161">
        <v>4</v>
      </c>
      <c r="H109" s="59"/>
      <c r="O109"/>
      <c r="P109"/>
    </row>
    <row r="110" spans="1:16" ht="14.4">
      <c r="A110" s="59"/>
      <c r="B110" s="160">
        <v>45595</v>
      </c>
      <c r="C110" s="63">
        <v>43</v>
      </c>
      <c r="D110" s="64" t="s">
        <v>141</v>
      </c>
      <c r="E110" s="64" t="s">
        <v>139</v>
      </c>
      <c r="F110" s="161">
        <v>2</v>
      </c>
      <c r="H110" s="59"/>
      <c r="O110"/>
      <c r="P110"/>
    </row>
    <row r="111" spans="1:16" ht="14.4">
      <c r="A111" s="59"/>
      <c r="B111" s="160">
        <v>45595</v>
      </c>
      <c r="C111" s="63">
        <v>70</v>
      </c>
      <c r="D111" s="64" t="s">
        <v>143</v>
      </c>
      <c r="E111" s="64" t="s">
        <v>153</v>
      </c>
      <c r="F111" s="161">
        <v>3</v>
      </c>
      <c r="H111" s="59"/>
      <c r="O111"/>
      <c r="P111"/>
    </row>
    <row r="112" spans="1:16" ht="14.4">
      <c r="A112" s="59"/>
      <c r="B112" s="160">
        <v>45596</v>
      </c>
      <c r="C112" s="63">
        <v>67</v>
      </c>
      <c r="D112" s="64" t="s">
        <v>150</v>
      </c>
      <c r="E112" s="64" t="s">
        <v>144</v>
      </c>
      <c r="F112" s="161">
        <v>4</v>
      </c>
      <c r="H112" s="59"/>
      <c r="O112"/>
      <c r="P112"/>
    </row>
    <row r="113" spans="1:16" ht="14.4">
      <c r="A113" s="59"/>
      <c r="B113" s="160">
        <v>45597</v>
      </c>
      <c r="C113" s="63">
        <v>59</v>
      </c>
      <c r="D113" s="64" t="s">
        <v>146</v>
      </c>
      <c r="E113" s="64" t="s">
        <v>142</v>
      </c>
      <c r="F113" s="161">
        <v>2</v>
      </c>
      <c r="H113" s="59"/>
      <c r="O113"/>
      <c r="P113"/>
    </row>
    <row r="114" spans="1:16" ht="14.4">
      <c r="A114" s="59"/>
      <c r="B114" s="160">
        <v>45597</v>
      </c>
      <c r="C114" s="63">
        <v>84</v>
      </c>
      <c r="D114" s="64" t="s">
        <v>138</v>
      </c>
      <c r="E114" s="64" t="s">
        <v>156</v>
      </c>
      <c r="F114" s="161">
        <v>3</v>
      </c>
      <c r="H114" s="59"/>
      <c r="O114"/>
      <c r="P114"/>
    </row>
    <row r="115" spans="1:16" ht="14.4">
      <c r="A115" s="59"/>
      <c r="B115" s="160">
        <v>45598</v>
      </c>
      <c r="C115" s="63">
        <v>96</v>
      </c>
      <c r="D115" s="64" t="s">
        <v>151</v>
      </c>
      <c r="E115" s="64" t="s">
        <v>148</v>
      </c>
      <c r="F115" s="161">
        <v>3</v>
      </c>
      <c r="H115" s="59"/>
      <c r="O115"/>
      <c r="P115"/>
    </row>
    <row r="116" spans="1:16" ht="14.4">
      <c r="A116" s="59"/>
      <c r="B116" s="160">
        <v>45598</v>
      </c>
      <c r="C116" s="63">
        <v>62</v>
      </c>
      <c r="D116" s="64" t="s">
        <v>141</v>
      </c>
      <c r="E116" s="64" t="s">
        <v>147</v>
      </c>
      <c r="F116" s="161">
        <v>4</v>
      </c>
      <c r="H116" s="59"/>
      <c r="O116"/>
      <c r="P116"/>
    </row>
    <row r="117" spans="1:16" ht="14.4">
      <c r="A117" s="59"/>
      <c r="B117" s="160">
        <v>45602</v>
      </c>
      <c r="C117" s="63">
        <v>69</v>
      </c>
      <c r="D117" s="64" t="s">
        <v>143</v>
      </c>
      <c r="E117" s="64" t="s">
        <v>139</v>
      </c>
      <c r="F117" s="161">
        <v>2</v>
      </c>
      <c r="H117" s="59"/>
      <c r="O117"/>
      <c r="P117"/>
    </row>
    <row r="118" spans="1:16" ht="14.4">
      <c r="A118" s="59"/>
      <c r="B118" s="160">
        <v>45602</v>
      </c>
      <c r="C118" s="63">
        <v>7</v>
      </c>
      <c r="D118" s="64" t="s">
        <v>150</v>
      </c>
      <c r="E118" s="64" t="s">
        <v>153</v>
      </c>
      <c r="F118" s="161">
        <v>1</v>
      </c>
      <c r="H118" s="59"/>
      <c r="O118"/>
      <c r="P118"/>
    </row>
    <row r="119" spans="1:16" ht="14.4">
      <c r="A119" s="59"/>
      <c r="B119" s="160">
        <v>45603</v>
      </c>
      <c r="C119" s="63">
        <v>58</v>
      </c>
      <c r="D119" s="64" t="s">
        <v>146</v>
      </c>
      <c r="E119" s="64" t="s">
        <v>144</v>
      </c>
      <c r="F119" s="161">
        <v>1</v>
      </c>
      <c r="H119" s="59"/>
      <c r="O119"/>
      <c r="P119"/>
    </row>
    <row r="120" spans="1:16" ht="14.4">
      <c r="A120" s="59"/>
      <c r="B120" s="160">
        <v>45604</v>
      </c>
      <c r="C120" s="63">
        <v>56</v>
      </c>
      <c r="D120" s="64" t="s">
        <v>138</v>
      </c>
      <c r="E120" s="64" t="s">
        <v>142</v>
      </c>
      <c r="F120" s="161">
        <v>3</v>
      </c>
      <c r="H120" s="59"/>
      <c r="O120"/>
      <c r="P120"/>
    </row>
    <row r="121" spans="1:16" ht="14.4">
      <c r="A121" s="59"/>
      <c r="B121" s="160">
        <v>45605</v>
      </c>
      <c r="C121" s="63">
        <v>86</v>
      </c>
      <c r="D121" s="64" t="s">
        <v>151</v>
      </c>
      <c r="E121" s="64" t="s">
        <v>156</v>
      </c>
      <c r="F121" s="161">
        <v>1</v>
      </c>
      <c r="H121" s="59"/>
      <c r="O121"/>
      <c r="P121"/>
    </row>
    <row r="122" spans="1:16" ht="14.4">
      <c r="A122" s="59"/>
      <c r="B122" s="160">
        <v>45606</v>
      </c>
      <c r="C122" s="63">
        <v>75</v>
      </c>
      <c r="D122" s="64" t="s">
        <v>141</v>
      </c>
      <c r="E122" s="64" t="s">
        <v>148</v>
      </c>
      <c r="F122" s="161">
        <v>3</v>
      </c>
      <c r="H122" s="59"/>
      <c r="O122"/>
      <c r="P122"/>
    </row>
    <row r="123" spans="1:16" ht="14.4">
      <c r="A123" s="59"/>
      <c r="B123" s="160">
        <v>45607</v>
      </c>
      <c r="C123" s="63">
        <v>36</v>
      </c>
      <c r="D123" s="64" t="s">
        <v>143</v>
      </c>
      <c r="E123" s="64" t="s">
        <v>147</v>
      </c>
      <c r="F123" s="161">
        <v>3</v>
      </c>
      <c r="H123" s="59"/>
      <c r="O123"/>
      <c r="P123"/>
    </row>
    <row r="124" spans="1:16" ht="14.4">
      <c r="A124" s="59"/>
      <c r="B124" s="160">
        <v>45607</v>
      </c>
      <c r="C124" s="63">
        <v>1</v>
      </c>
      <c r="D124" s="64" t="s">
        <v>150</v>
      </c>
      <c r="E124" s="64" t="s">
        <v>139</v>
      </c>
      <c r="F124" s="161">
        <v>4</v>
      </c>
      <c r="H124" s="59"/>
      <c r="O124"/>
      <c r="P124"/>
    </row>
    <row r="125" spans="1:16" ht="14.4">
      <c r="A125" s="59"/>
      <c r="B125" s="160">
        <v>45607</v>
      </c>
      <c r="C125" s="63">
        <v>63</v>
      </c>
      <c r="D125" s="64" t="s">
        <v>146</v>
      </c>
      <c r="E125" s="64" t="s">
        <v>153</v>
      </c>
      <c r="F125" s="161">
        <v>2</v>
      </c>
      <c r="H125" s="59"/>
      <c r="O125"/>
      <c r="P125"/>
    </row>
    <row r="126" spans="1:16" ht="14.4">
      <c r="A126" s="59"/>
      <c r="B126" s="160">
        <v>45608</v>
      </c>
      <c r="C126" s="63">
        <v>20</v>
      </c>
      <c r="D126" s="64" t="s">
        <v>138</v>
      </c>
      <c r="E126" s="64" t="s">
        <v>144</v>
      </c>
      <c r="F126" s="161">
        <v>2</v>
      </c>
      <c r="H126" s="59"/>
      <c r="O126"/>
      <c r="P126"/>
    </row>
    <row r="127" spans="1:16" ht="14.4">
      <c r="A127" s="59"/>
      <c r="B127" s="160">
        <v>45608</v>
      </c>
      <c r="C127" s="63">
        <v>84</v>
      </c>
      <c r="D127" s="64" t="s">
        <v>151</v>
      </c>
      <c r="E127" s="64" t="s">
        <v>142</v>
      </c>
      <c r="F127" s="161">
        <v>1</v>
      </c>
      <c r="H127" s="59"/>
      <c r="O127"/>
      <c r="P127"/>
    </row>
    <row r="128" spans="1:16" ht="14.4">
      <c r="A128" s="59"/>
      <c r="B128" s="160">
        <v>45609</v>
      </c>
      <c r="C128" s="63">
        <v>87</v>
      </c>
      <c r="D128" s="64" t="s">
        <v>141</v>
      </c>
      <c r="E128" s="64" t="s">
        <v>156</v>
      </c>
      <c r="F128" s="161">
        <v>4</v>
      </c>
      <c r="H128" s="59"/>
      <c r="O128"/>
      <c r="P128"/>
    </row>
    <row r="129" spans="1:16" ht="14.4">
      <c r="A129" s="59"/>
      <c r="B129" s="160">
        <v>45609</v>
      </c>
      <c r="C129" s="63">
        <v>14</v>
      </c>
      <c r="D129" s="64" t="s">
        <v>143</v>
      </c>
      <c r="E129" s="64" t="s">
        <v>148</v>
      </c>
      <c r="F129" s="161">
        <v>4</v>
      </c>
      <c r="H129" s="59"/>
      <c r="O129"/>
      <c r="P129"/>
    </row>
    <row r="130" spans="1:16" ht="14.4">
      <c r="A130" s="59"/>
      <c r="B130" s="160">
        <v>45610</v>
      </c>
      <c r="C130" s="63">
        <v>39</v>
      </c>
      <c r="D130" s="64" t="s">
        <v>150</v>
      </c>
      <c r="E130" s="64" t="s">
        <v>147</v>
      </c>
      <c r="F130" s="161">
        <v>4</v>
      </c>
      <c r="H130" s="59"/>
      <c r="O130"/>
      <c r="P130"/>
    </row>
    <row r="131" spans="1:16" ht="14.4">
      <c r="A131" s="59"/>
      <c r="B131" s="160">
        <v>45611</v>
      </c>
      <c r="C131" s="63">
        <v>29</v>
      </c>
      <c r="D131" s="64" t="s">
        <v>146</v>
      </c>
      <c r="E131" s="64" t="s">
        <v>139</v>
      </c>
      <c r="F131" s="161">
        <v>4</v>
      </c>
      <c r="H131" s="59"/>
      <c r="O131"/>
      <c r="P131"/>
    </row>
    <row r="132" spans="1:16" ht="14.4">
      <c r="A132" s="59"/>
      <c r="B132" s="160">
        <v>45612</v>
      </c>
      <c r="C132" s="63">
        <v>49</v>
      </c>
      <c r="D132" s="64" t="s">
        <v>138</v>
      </c>
      <c r="E132" s="64" t="s">
        <v>153</v>
      </c>
      <c r="F132" s="161">
        <v>2</v>
      </c>
      <c r="H132" s="59"/>
      <c r="O132"/>
      <c r="P132"/>
    </row>
    <row r="133" spans="1:16" ht="14.4">
      <c r="A133" s="59"/>
      <c r="B133" s="160">
        <v>45612</v>
      </c>
      <c r="C133" s="63">
        <v>90</v>
      </c>
      <c r="D133" s="64" t="s">
        <v>151</v>
      </c>
      <c r="E133" s="64" t="s">
        <v>144</v>
      </c>
      <c r="F133" s="161">
        <v>1</v>
      </c>
      <c r="H133" s="59"/>
      <c r="O133"/>
      <c r="P133"/>
    </row>
    <row r="134" spans="1:16" ht="14.4">
      <c r="A134" s="59"/>
      <c r="B134" s="160">
        <v>45613</v>
      </c>
      <c r="C134" s="63">
        <v>24</v>
      </c>
      <c r="D134" s="64" t="s">
        <v>141</v>
      </c>
      <c r="E134" s="64" t="s">
        <v>142</v>
      </c>
      <c r="F134" s="161">
        <v>3</v>
      </c>
      <c r="H134" s="59"/>
      <c r="O134"/>
      <c r="P134"/>
    </row>
    <row r="135" spans="1:16" ht="14.4">
      <c r="A135" s="59"/>
      <c r="B135" s="160">
        <v>45614</v>
      </c>
      <c r="C135" s="63">
        <v>27</v>
      </c>
      <c r="D135" s="64" t="s">
        <v>143</v>
      </c>
      <c r="E135" s="64" t="s">
        <v>156</v>
      </c>
      <c r="F135" s="161">
        <v>2</v>
      </c>
      <c r="H135" s="59"/>
      <c r="O135"/>
      <c r="P135"/>
    </row>
    <row r="136" spans="1:16" ht="14.4">
      <c r="A136" s="59"/>
      <c r="B136" s="160">
        <v>45615</v>
      </c>
      <c r="C136" s="63">
        <v>52</v>
      </c>
      <c r="D136" s="64" t="s">
        <v>150</v>
      </c>
      <c r="E136" s="64" t="s">
        <v>148</v>
      </c>
      <c r="F136" s="161">
        <v>2</v>
      </c>
      <c r="H136" s="59"/>
      <c r="O136"/>
      <c r="P136"/>
    </row>
    <row r="137" spans="1:16" ht="14.4">
      <c r="A137" s="59"/>
      <c r="B137" s="160">
        <v>45616</v>
      </c>
      <c r="C137" s="63">
        <v>80</v>
      </c>
      <c r="D137" s="64" t="s">
        <v>146</v>
      </c>
      <c r="E137" s="64" t="s">
        <v>147</v>
      </c>
      <c r="F137" s="161">
        <v>2</v>
      </c>
      <c r="H137" s="59"/>
      <c r="O137"/>
      <c r="P137"/>
    </row>
    <row r="138" spans="1:16" ht="14.4">
      <c r="A138" s="59"/>
      <c r="B138" s="160">
        <v>45616</v>
      </c>
      <c r="C138" s="63">
        <v>37</v>
      </c>
      <c r="D138" s="64" t="s">
        <v>138</v>
      </c>
      <c r="E138" s="64" t="s">
        <v>139</v>
      </c>
      <c r="F138" s="161">
        <v>3</v>
      </c>
      <c r="H138" s="59"/>
      <c r="O138"/>
      <c r="P138"/>
    </row>
    <row r="139" spans="1:16" ht="14.4">
      <c r="A139" s="59"/>
      <c r="B139" s="160">
        <v>45618</v>
      </c>
      <c r="C139" s="63">
        <v>42</v>
      </c>
      <c r="D139" s="64" t="s">
        <v>151</v>
      </c>
      <c r="E139" s="64" t="s">
        <v>153</v>
      </c>
      <c r="F139" s="161">
        <v>1</v>
      </c>
      <c r="H139" s="59"/>
      <c r="O139"/>
      <c r="P139"/>
    </row>
    <row r="140" spans="1:16" ht="14.4">
      <c r="A140" s="59"/>
      <c r="B140" s="160">
        <v>45618</v>
      </c>
      <c r="C140" s="63">
        <v>13</v>
      </c>
      <c r="D140" s="64" t="s">
        <v>141</v>
      </c>
      <c r="E140" s="64" t="s">
        <v>144</v>
      </c>
      <c r="F140" s="161">
        <v>4</v>
      </c>
      <c r="H140" s="59"/>
      <c r="O140"/>
      <c r="P140"/>
    </row>
    <row r="141" spans="1:16" ht="14.4">
      <c r="A141" s="59"/>
      <c r="B141" s="160">
        <v>45618</v>
      </c>
      <c r="C141" s="63">
        <v>98</v>
      </c>
      <c r="D141" s="64" t="s">
        <v>143</v>
      </c>
      <c r="E141" s="64" t="s">
        <v>142</v>
      </c>
      <c r="F141" s="161">
        <v>1</v>
      </c>
      <c r="H141" s="59"/>
      <c r="O141"/>
      <c r="P141"/>
    </row>
    <row r="142" spans="1:16" ht="14.4">
      <c r="A142" s="59"/>
      <c r="B142" s="160">
        <v>45618</v>
      </c>
      <c r="C142" s="63">
        <v>63</v>
      </c>
      <c r="D142" s="64" t="s">
        <v>150</v>
      </c>
      <c r="E142" s="64" t="s">
        <v>156</v>
      </c>
      <c r="F142" s="161">
        <v>1</v>
      </c>
      <c r="H142" s="59"/>
      <c r="O142"/>
      <c r="P142"/>
    </row>
    <row r="143" spans="1:16" ht="14.4">
      <c r="A143" s="59"/>
      <c r="B143" s="160">
        <v>45619</v>
      </c>
      <c r="C143" s="63">
        <v>62</v>
      </c>
      <c r="D143" s="64" t="s">
        <v>146</v>
      </c>
      <c r="E143" s="64" t="s">
        <v>148</v>
      </c>
      <c r="F143" s="161">
        <v>4</v>
      </c>
      <c r="H143" s="59"/>
      <c r="O143"/>
      <c r="P143"/>
    </row>
    <row r="144" spans="1:16" ht="14.4">
      <c r="A144" s="59"/>
      <c r="B144" s="160">
        <v>45619</v>
      </c>
      <c r="C144" s="63">
        <v>30</v>
      </c>
      <c r="D144" s="64" t="s">
        <v>138</v>
      </c>
      <c r="E144" s="64" t="s">
        <v>147</v>
      </c>
      <c r="F144" s="161">
        <v>4</v>
      </c>
      <c r="H144" s="59"/>
      <c r="O144"/>
      <c r="P144"/>
    </row>
    <row r="145" spans="1:16" ht="14.4">
      <c r="A145" s="59"/>
      <c r="B145" s="160">
        <v>45619</v>
      </c>
      <c r="C145" s="63">
        <v>55</v>
      </c>
      <c r="D145" s="64" t="s">
        <v>151</v>
      </c>
      <c r="E145" s="64" t="s">
        <v>139</v>
      </c>
      <c r="F145" s="161">
        <v>1</v>
      </c>
      <c r="H145" s="59"/>
      <c r="O145"/>
      <c r="P145"/>
    </row>
    <row r="146" spans="1:16" ht="14.4">
      <c r="A146" s="59"/>
      <c r="B146" s="160">
        <v>45621</v>
      </c>
      <c r="C146" s="63">
        <v>40</v>
      </c>
      <c r="D146" s="64" t="s">
        <v>141</v>
      </c>
      <c r="E146" s="64" t="s">
        <v>153</v>
      </c>
      <c r="F146" s="161">
        <v>2</v>
      </c>
      <c r="H146" s="59"/>
      <c r="O146"/>
      <c r="P146"/>
    </row>
    <row r="147" spans="1:16" ht="14.4">
      <c r="A147" s="59"/>
      <c r="B147" s="160">
        <v>45626</v>
      </c>
      <c r="C147" s="63">
        <v>74</v>
      </c>
      <c r="D147" s="64" t="s">
        <v>143</v>
      </c>
      <c r="E147" s="64" t="s">
        <v>144</v>
      </c>
      <c r="F147" s="161">
        <v>2</v>
      </c>
      <c r="H147" s="59"/>
      <c r="O147"/>
      <c r="P147"/>
    </row>
    <row r="148" spans="1:16" ht="14.4">
      <c r="A148" s="59"/>
      <c r="B148" s="160">
        <v>45630</v>
      </c>
      <c r="C148" s="63">
        <v>74</v>
      </c>
      <c r="D148" s="64" t="s">
        <v>150</v>
      </c>
      <c r="E148" s="64" t="s">
        <v>142</v>
      </c>
      <c r="F148" s="161">
        <v>4</v>
      </c>
      <c r="H148" s="59"/>
      <c r="O148"/>
      <c r="P148"/>
    </row>
    <row r="149" spans="1:16" ht="14.4">
      <c r="A149" s="59"/>
      <c r="B149" s="160">
        <v>45631</v>
      </c>
      <c r="C149" s="63">
        <v>99</v>
      </c>
      <c r="D149" s="64" t="s">
        <v>146</v>
      </c>
      <c r="E149" s="64" t="s">
        <v>156</v>
      </c>
      <c r="F149" s="161">
        <v>4</v>
      </c>
      <c r="H149" s="59"/>
      <c r="O149"/>
      <c r="P149"/>
    </row>
    <row r="150" spans="1:16" ht="14.4">
      <c r="A150" s="59"/>
      <c r="B150" s="160">
        <v>45631</v>
      </c>
      <c r="C150" s="63">
        <v>94</v>
      </c>
      <c r="D150" s="64" t="s">
        <v>138</v>
      </c>
      <c r="E150" s="64" t="s">
        <v>148</v>
      </c>
      <c r="F150" s="161">
        <v>2</v>
      </c>
      <c r="H150" s="59"/>
      <c r="O150"/>
      <c r="P150"/>
    </row>
    <row r="151" spans="1:16" ht="14.4">
      <c r="A151" s="59"/>
      <c r="B151" s="160">
        <v>45632</v>
      </c>
      <c r="C151" s="63">
        <v>55</v>
      </c>
      <c r="D151" s="64" t="s">
        <v>151</v>
      </c>
      <c r="E151" s="64" t="s">
        <v>147</v>
      </c>
      <c r="F151" s="161">
        <v>2</v>
      </c>
      <c r="H151" s="59"/>
      <c r="O151"/>
      <c r="P151"/>
    </row>
    <row r="152" spans="1:16" ht="14.4">
      <c r="A152" s="59"/>
      <c r="B152" s="160">
        <v>45632</v>
      </c>
      <c r="C152" s="63">
        <v>18</v>
      </c>
      <c r="D152" s="64" t="s">
        <v>141</v>
      </c>
      <c r="E152" s="64" t="s">
        <v>139</v>
      </c>
      <c r="F152" s="161">
        <v>1</v>
      </c>
      <c r="H152" s="59"/>
      <c r="O152"/>
      <c r="P152"/>
    </row>
    <row r="153" spans="1:16" ht="14.4">
      <c r="A153" s="59"/>
      <c r="B153" s="160">
        <v>45633</v>
      </c>
      <c r="C153" s="63">
        <v>37</v>
      </c>
      <c r="D153" s="64" t="s">
        <v>143</v>
      </c>
      <c r="E153" s="64" t="s">
        <v>153</v>
      </c>
      <c r="F153" s="161">
        <v>3</v>
      </c>
      <c r="H153" s="59"/>
      <c r="O153"/>
      <c r="P153"/>
    </row>
    <row r="154" spans="1:16" ht="14.4">
      <c r="A154" s="59"/>
      <c r="B154" s="160">
        <v>45633</v>
      </c>
      <c r="C154" s="63">
        <v>76</v>
      </c>
      <c r="D154" s="64" t="s">
        <v>150</v>
      </c>
      <c r="E154" s="64" t="s">
        <v>144</v>
      </c>
      <c r="F154" s="161">
        <v>4</v>
      </c>
      <c r="H154" s="59"/>
      <c r="O154"/>
      <c r="P154"/>
    </row>
    <row r="155" spans="1:16" ht="14.4">
      <c r="A155" s="59"/>
      <c r="B155" s="160">
        <v>45633</v>
      </c>
      <c r="C155" s="63">
        <v>68</v>
      </c>
      <c r="D155" s="64" t="s">
        <v>146</v>
      </c>
      <c r="E155" s="64" t="s">
        <v>142</v>
      </c>
      <c r="F155" s="161">
        <v>3</v>
      </c>
      <c r="H155" s="59"/>
      <c r="O155"/>
      <c r="P155"/>
    </row>
    <row r="156" spans="1:16" ht="14.4">
      <c r="A156" s="59"/>
      <c r="B156" s="160">
        <v>45637</v>
      </c>
      <c r="C156" s="63">
        <v>21</v>
      </c>
      <c r="D156" s="64" t="s">
        <v>138</v>
      </c>
      <c r="E156" s="64" t="s">
        <v>156</v>
      </c>
      <c r="F156" s="161">
        <v>2</v>
      </c>
      <c r="H156" s="59"/>
      <c r="O156"/>
      <c r="P156"/>
    </row>
    <row r="157" spans="1:16" ht="14.4">
      <c r="A157" s="59"/>
      <c r="B157" s="160">
        <v>45637</v>
      </c>
      <c r="C157" s="63">
        <v>79</v>
      </c>
      <c r="D157" s="64" t="s">
        <v>151</v>
      </c>
      <c r="E157" s="64" t="s">
        <v>148</v>
      </c>
      <c r="F157" s="161">
        <v>1</v>
      </c>
      <c r="H157" s="59"/>
      <c r="O157"/>
      <c r="P157"/>
    </row>
    <row r="158" spans="1:16" ht="14.4">
      <c r="A158" s="59"/>
      <c r="B158" s="160">
        <v>45638</v>
      </c>
      <c r="C158" s="63">
        <v>13</v>
      </c>
      <c r="D158" s="64" t="s">
        <v>141</v>
      </c>
      <c r="E158" s="64" t="s">
        <v>147</v>
      </c>
      <c r="F158" s="161">
        <v>3</v>
      </c>
      <c r="H158" s="59"/>
      <c r="O158"/>
      <c r="P158"/>
    </row>
    <row r="159" spans="1:16" ht="14.4">
      <c r="A159" s="59"/>
      <c r="B159" s="160">
        <v>45641</v>
      </c>
      <c r="C159" s="63">
        <v>96</v>
      </c>
      <c r="D159" s="64" t="s">
        <v>143</v>
      </c>
      <c r="E159" s="64" t="s">
        <v>139</v>
      </c>
      <c r="F159" s="161">
        <v>1</v>
      </c>
      <c r="H159" s="59"/>
      <c r="O159"/>
      <c r="P159"/>
    </row>
    <row r="160" spans="1:16" ht="14.4">
      <c r="A160" s="59"/>
      <c r="B160" s="160">
        <v>45641</v>
      </c>
      <c r="C160" s="63">
        <v>45</v>
      </c>
      <c r="D160" s="64" t="s">
        <v>150</v>
      </c>
      <c r="E160" s="64" t="s">
        <v>153</v>
      </c>
      <c r="F160" s="161">
        <v>3</v>
      </c>
      <c r="H160" s="59"/>
      <c r="O160"/>
      <c r="P160"/>
    </row>
    <row r="161" spans="1:16" ht="14.4">
      <c r="A161" s="59"/>
      <c r="B161" s="160">
        <v>45642</v>
      </c>
      <c r="C161" s="63">
        <v>47</v>
      </c>
      <c r="D161" s="64" t="s">
        <v>146</v>
      </c>
      <c r="E161" s="64" t="s">
        <v>144</v>
      </c>
      <c r="F161" s="161">
        <v>2</v>
      </c>
      <c r="H161" s="59"/>
      <c r="O161"/>
      <c r="P161"/>
    </row>
    <row r="162" spans="1:16" ht="14.4">
      <c r="A162" s="59"/>
      <c r="B162" s="160">
        <v>45642</v>
      </c>
      <c r="C162" s="63">
        <v>97</v>
      </c>
      <c r="D162" s="64" t="s">
        <v>138</v>
      </c>
      <c r="E162" s="64" t="s">
        <v>142</v>
      </c>
      <c r="F162" s="161">
        <v>1</v>
      </c>
      <c r="H162" s="59"/>
      <c r="O162"/>
      <c r="P162"/>
    </row>
    <row r="163" spans="1:16" ht="14.4">
      <c r="A163" s="59"/>
      <c r="B163" s="160">
        <v>45644</v>
      </c>
      <c r="C163" s="63">
        <v>34</v>
      </c>
      <c r="D163" s="64" t="s">
        <v>151</v>
      </c>
      <c r="E163" s="64" t="s">
        <v>156</v>
      </c>
      <c r="F163" s="161">
        <v>1</v>
      </c>
      <c r="H163" s="59"/>
      <c r="O163"/>
      <c r="P163"/>
    </row>
    <row r="164" spans="1:16" ht="14.4">
      <c r="A164" s="59"/>
      <c r="B164" s="160">
        <v>45644</v>
      </c>
      <c r="C164" s="63">
        <v>52</v>
      </c>
      <c r="D164" s="64" t="s">
        <v>141</v>
      </c>
      <c r="E164" s="64" t="s">
        <v>148</v>
      </c>
      <c r="F164" s="161">
        <v>4</v>
      </c>
      <c r="H164" s="59"/>
      <c r="O164"/>
      <c r="P164"/>
    </row>
    <row r="165" spans="1:16" ht="14.4">
      <c r="A165" s="59"/>
      <c r="B165" s="160">
        <v>45644</v>
      </c>
      <c r="C165" s="63">
        <v>1</v>
      </c>
      <c r="D165" s="64" t="s">
        <v>143</v>
      </c>
      <c r="E165" s="64" t="s">
        <v>147</v>
      </c>
      <c r="F165" s="161">
        <v>1</v>
      </c>
      <c r="H165" s="59"/>
      <c r="O165"/>
      <c r="P165"/>
    </row>
    <row r="166" spans="1:16" ht="14.4">
      <c r="A166" s="59"/>
      <c r="B166" s="160">
        <v>45645</v>
      </c>
      <c r="C166" s="63">
        <v>75</v>
      </c>
      <c r="D166" s="64" t="s">
        <v>150</v>
      </c>
      <c r="E166" s="64" t="s">
        <v>139</v>
      </c>
      <c r="F166" s="161">
        <v>4</v>
      </c>
      <c r="H166" s="59"/>
      <c r="O166"/>
      <c r="P166"/>
    </row>
    <row r="167" spans="1:16" ht="14.4">
      <c r="A167" s="59"/>
      <c r="B167" s="160">
        <v>45646</v>
      </c>
      <c r="C167" s="63">
        <v>63</v>
      </c>
      <c r="D167" s="64" t="s">
        <v>146</v>
      </c>
      <c r="E167" s="64" t="s">
        <v>153</v>
      </c>
      <c r="F167" s="161">
        <v>3</v>
      </c>
      <c r="H167" s="59"/>
      <c r="O167"/>
      <c r="P167"/>
    </row>
    <row r="168" spans="1:16" ht="14.4">
      <c r="A168" s="59"/>
      <c r="B168" s="160">
        <v>45646</v>
      </c>
      <c r="C168" s="63">
        <v>40</v>
      </c>
      <c r="D168" s="64" t="s">
        <v>138</v>
      </c>
      <c r="E168" s="64" t="s">
        <v>144</v>
      </c>
      <c r="F168" s="161">
        <v>2</v>
      </c>
      <c r="H168" s="59"/>
      <c r="O168"/>
      <c r="P168"/>
    </row>
    <row r="169" spans="1:16" ht="14.4">
      <c r="A169" s="59"/>
      <c r="B169" s="160">
        <v>45646</v>
      </c>
      <c r="C169" s="63">
        <v>8</v>
      </c>
      <c r="D169" s="64" t="s">
        <v>151</v>
      </c>
      <c r="E169" s="64" t="s">
        <v>142</v>
      </c>
      <c r="F169" s="161">
        <v>1</v>
      </c>
      <c r="H169" s="59"/>
      <c r="O169"/>
      <c r="P169"/>
    </row>
    <row r="170" spans="1:16" ht="14.4">
      <c r="A170" s="59"/>
      <c r="B170" s="160">
        <v>45647</v>
      </c>
      <c r="C170" s="63">
        <v>24</v>
      </c>
      <c r="D170" s="64" t="s">
        <v>141</v>
      </c>
      <c r="E170" s="64" t="s">
        <v>156</v>
      </c>
      <c r="F170" s="161">
        <v>1</v>
      </c>
      <c r="H170" s="59"/>
      <c r="O170"/>
      <c r="P170"/>
    </row>
    <row r="171" spans="1:16" ht="14.4">
      <c r="A171" s="59"/>
      <c r="B171" s="160">
        <v>45647</v>
      </c>
      <c r="C171" s="63">
        <v>76</v>
      </c>
      <c r="D171" s="64" t="s">
        <v>143</v>
      </c>
      <c r="E171" s="64" t="s">
        <v>148</v>
      </c>
      <c r="F171" s="161">
        <v>3</v>
      </c>
      <c r="H171" s="59"/>
      <c r="O171"/>
      <c r="P171"/>
    </row>
    <row r="172" spans="1:16" ht="14.4">
      <c r="A172" s="59"/>
      <c r="B172" s="160">
        <v>45647</v>
      </c>
      <c r="C172" s="63">
        <v>22</v>
      </c>
      <c r="D172" s="64" t="s">
        <v>150</v>
      </c>
      <c r="E172" s="64" t="s">
        <v>147</v>
      </c>
      <c r="F172" s="161">
        <v>4</v>
      </c>
      <c r="H172" s="59"/>
      <c r="O172"/>
      <c r="P172"/>
    </row>
    <row r="173" spans="1:16" ht="14.4">
      <c r="A173" s="59"/>
      <c r="B173" s="160">
        <v>45650</v>
      </c>
      <c r="C173" s="63">
        <v>20</v>
      </c>
      <c r="D173" s="64" t="s">
        <v>146</v>
      </c>
      <c r="E173" s="64" t="s">
        <v>139</v>
      </c>
      <c r="F173" s="161">
        <v>2</v>
      </c>
      <c r="H173" s="59"/>
      <c r="O173"/>
      <c r="P173"/>
    </row>
    <row r="174" spans="1:16" ht="14.4">
      <c r="A174" s="59"/>
      <c r="B174" s="160">
        <v>45652</v>
      </c>
      <c r="C174" s="63">
        <v>84</v>
      </c>
      <c r="D174" s="64" t="s">
        <v>138</v>
      </c>
      <c r="E174" s="64" t="s">
        <v>153</v>
      </c>
      <c r="F174" s="161">
        <v>4</v>
      </c>
      <c r="H174" s="59"/>
      <c r="O174"/>
      <c r="P174"/>
    </row>
    <row r="175" spans="1:16" ht="14.4">
      <c r="A175" s="59"/>
      <c r="B175" s="160">
        <v>45653</v>
      </c>
      <c r="C175" s="63">
        <v>77</v>
      </c>
      <c r="D175" s="64" t="s">
        <v>151</v>
      </c>
      <c r="E175" s="64" t="s">
        <v>144</v>
      </c>
      <c r="F175" s="161">
        <v>3</v>
      </c>
      <c r="H175" s="59"/>
      <c r="O175"/>
      <c r="P175"/>
    </row>
    <row r="176" spans="1:16" ht="14.4">
      <c r="A176" s="59"/>
      <c r="B176" s="160">
        <v>45653</v>
      </c>
      <c r="C176" s="63">
        <v>46</v>
      </c>
      <c r="D176" s="64" t="s">
        <v>141</v>
      </c>
      <c r="E176" s="64" t="s">
        <v>142</v>
      </c>
      <c r="F176" s="161">
        <v>2</v>
      </c>
      <c r="H176" s="59"/>
      <c r="O176"/>
      <c r="P176"/>
    </row>
    <row r="177" spans="1:16" ht="14.4">
      <c r="A177" s="59"/>
      <c r="B177" s="160">
        <v>45653</v>
      </c>
      <c r="C177" s="63">
        <v>14</v>
      </c>
      <c r="D177" s="64" t="s">
        <v>143</v>
      </c>
      <c r="E177" s="64" t="s">
        <v>156</v>
      </c>
      <c r="F177" s="161">
        <v>3</v>
      </c>
      <c r="H177" s="59"/>
      <c r="O177"/>
      <c r="P177"/>
    </row>
    <row r="178" spans="1:16" ht="14.4">
      <c r="A178" s="59"/>
      <c r="B178" s="160">
        <v>45659</v>
      </c>
      <c r="C178" s="63">
        <v>39</v>
      </c>
      <c r="D178" s="64" t="s">
        <v>150</v>
      </c>
      <c r="E178" s="64" t="s">
        <v>148</v>
      </c>
      <c r="F178" s="161">
        <v>2</v>
      </c>
      <c r="H178" s="59"/>
      <c r="O178"/>
      <c r="P178"/>
    </row>
    <row r="179" spans="1:16" ht="14.4">
      <c r="A179" s="59"/>
      <c r="B179" s="160">
        <v>45659</v>
      </c>
      <c r="C179" s="63">
        <v>28</v>
      </c>
      <c r="D179" s="64" t="s">
        <v>146</v>
      </c>
      <c r="E179" s="64" t="s">
        <v>147</v>
      </c>
      <c r="F179" s="161">
        <v>3</v>
      </c>
      <c r="H179" s="59"/>
      <c r="O179"/>
      <c r="P179"/>
    </row>
    <row r="180" spans="1:16" ht="14.4">
      <c r="A180" s="59"/>
      <c r="B180" s="160">
        <v>45659</v>
      </c>
      <c r="C180" s="63">
        <v>18</v>
      </c>
      <c r="D180" s="64" t="s">
        <v>138</v>
      </c>
      <c r="E180" s="64" t="s">
        <v>139</v>
      </c>
      <c r="F180" s="161">
        <v>1</v>
      </c>
      <c r="H180" s="59"/>
      <c r="O180"/>
      <c r="P180"/>
    </row>
    <row r="181" spans="1:16" ht="14.4">
      <c r="A181" s="59"/>
      <c r="B181" s="160">
        <v>45660</v>
      </c>
      <c r="C181" s="63">
        <v>3</v>
      </c>
      <c r="D181" s="64" t="s">
        <v>151</v>
      </c>
      <c r="E181" s="64" t="s">
        <v>153</v>
      </c>
      <c r="F181" s="161">
        <v>2</v>
      </c>
      <c r="H181" s="59"/>
      <c r="O181"/>
      <c r="P181"/>
    </row>
    <row r="182" spans="1:16" ht="14.4">
      <c r="A182" s="59"/>
      <c r="B182" s="160">
        <v>45661</v>
      </c>
      <c r="C182" s="63">
        <v>69</v>
      </c>
      <c r="D182" s="64" t="s">
        <v>141</v>
      </c>
      <c r="E182" s="64" t="s">
        <v>144</v>
      </c>
      <c r="F182" s="161">
        <v>3</v>
      </c>
      <c r="H182" s="59"/>
      <c r="O182"/>
      <c r="P182"/>
    </row>
    <row r="183" spans="1:16" ht="14.4">
      <c r="A183" s="59"/>
      <c r="B183" s="160">
        <v>45661</v>
      </c>
      <c r="C183" s="63">
        <v>70</v>
      </c>
      <c r="D183" s="64" t="s">
        <v>143</v>
      </c>
      <c r="E183" s="64" t="s">
        <v>142</v>
      </c>
      <c r="F183" s="161">
        <v>3</v>
      </c>
      <c r="H183" s="59"/>
      <c r="O183"/>
      <c r="P183"/>
    </row>
    <row r="184" spans="1:16" ht="14.4">
      <c r="A184" s="59"/>
      <c r="B184" s="160">
        <v>45663</v>
      </c>
      <c r="C184" s="63">
        <v>86</v>
      </c>
      <c r="D184" s="64" t="s">
        <v>150</v>
      </c>
      <c r="E184" s="64" t="s">
        <v>156</v>
      </c>
      <c r="F184" s="161">
        <v>1</v>
      </c>
      <c r="H184" s="59"/>
      <c r="O184"/>
      <c r="P184"/>
    </row>
    <row r="185" spans="1:16" ht="14.4">
      <c r="A185" s="59"/>
      <c r="B185" s="160">
        <v>45665</v>
      </c>
      <c r="C185" s="63">
        <v>58</v>
      </c>
      <c r="D185" s="64" t="s">
        <v>146</v>
      </c>
      <c r="E185" s="64" t="s">
        <v>148</v>
      </c>
      <c r="F185" s="161">
        <v>2</v>
      </c>
      <c r="H185" s="59"/>
      <c r="O185"/>
      <c r="P185"/>
    </row>
    <row r="186" spans="1:16" ht="14.4">
      <c r="A186" s="59"/>
      <c r="B186" s="160">
        <v>45665</v>
      </c>
      <c r="C186" s="63">
        <v>74</v>
      </c>
      <c r="D186" s="64" t="s">
        <v>138</v>
      </c>
      <c r="E186" s="64" t="s">
        <v>147</v>
      </c>
      <c r="F186" s="161">
        <v>2</v>
      </c>
      <c r="H186" s="59"/>
      <c r="O186"/>
      <c r="P186"/>
    </row>
    <row r="187" spans="1:16" ht="14.4">
      <c r="A187" s="59"/>
      <c r="B187" s="160">
        <v>45666</v>
      </c>
      <c r="C187" s="63">
        <v>17</v>
      </c>
      <c r="D187" s="64" t="s">
        <v>151</v>
      </c>
      <c r="E187" s="64" t="s">
        <v>139</v>
      </c>
      <c r="F187" s="161">
        <v>2</v>
      </c>
      <c r="H187" s="59"/>
      <c r="O187"/>
      <c r="P187"/>
    </row>
    <row r="188" spans="1:16" ht="14.4">
      <c r="A188" s="59"/>
      <c r="B188" s="160">
        <v>45667</v>
      </c>
      <c r="C188" s="63">
        <v>74</v>
      </c>
      <c r="D188" s="64" t="s">
        <v>141</v>
      </c>
      <c r="E188" s="64" t="s">
        <v>153</v>
      </c>
      <c r="F188" s="161">
        <v>1</v>
      </c>
      <c r="H188" s="59"/>
      <c r="O188"/>
      <c r="P188"/>
    </row>
    <row r="189" spans="1:16" ht="14.4">
      <c r="A189" s="59"/>
      <c r="B189" s="160">
        <v>45669</v>
      </c>
      <c r="C189" s="63">
        <v>65</v>
      </c>
      <c r="D189" s="64" t="s">
        <v>143</v>
      </c>
      <c r="E189" s="64" t="s">
        <v>144</v>
      </c>
      <c r="F189" s="161">
        <v>1</v>
      </c>
      <c r="H189" s="59"/>
      <c r="O189"/>
      <c r="P189"/>
    </row>
    <row r="190" spans="1:16" ht="14.4">
      <c r="A190" s="59"/>
      <c r="B190" s="160">
        <v>45669</v>
      </c>
      <c r="C190" s="63">
        <v>50</v>
      </c>
      <c r="D190" s="64" t="s">
        <v>150</v>
      </c>
      <c r="E190" s="64" t="s">
        <v>142</v>
      </c>
      <c r="F190" s="161">
        <v>3</v>
      </c>
      <c r="H190" s="59"/>
      <c r="O190"/>
      <c r="P190"/>
    </row>
    <row r="191" spans="1:16" ht="14.4">
      <c r="A191" s="59"/>
      <c r="B191" s="160">
        <v>45670</v>
      </c>
      <c r="C191" s="63">
        <v>3</v>
      </c>
      <c r="D191" s="64" t="s">
        <v>146</v>
      </c>
      <c r="E191" s="64" t="s">
        <v>156</v>
      </c>
      <c r="F191" s="161">
        <v>1</v>
      </c>
      <c r="H191" s="59"/>
      <c r="O191"/>
      <c r="P191"/>
    </row>
    <row r="192" spans="1:16" ht="14.4">
      <c r="A192" s="59"/>
      <c r="B192" s="160">
        <v>45670</v>
      </c>
      <c r="C192" s="63">
        <v>24</v>
      </c>
      <c r="D192" s="64" t="s">
        <v>138</v>
      </c>
      <c r="E192" s="64" t="s">
        <v>148</v>
      </c>
      <c r="F192" s="161">
        <v>4</v>
      </c>
      <c r="H192" s="59"/>
      <c r="O192"/>
      <c r="P192"/>
    </row>
    <row r="193" spans="1:16" ht="14.4">
      <c r="A193" s="59"/>
      <c r="B193" s="160">
        <v>45670</v>
      </c>
      <c r="C193" s="63">
        <v>79</v>
      </c>
      <c r="D193" s="64" t="s">
        <v>151</v>
      </c>
      <c r="E193" s="64" t="s">
        <v>147</v>
      </c>
      <c r="F193" s="161">
        <v>4</v>
      </c>
      <c r="H193" s="59"/>
      <c r="O193"/>
      <c r="P193"/>
    </row>
    <row r="194" spans="1:16" ht="14.4">
      <c r="A194" s="59"/>
      <c r="B194" s="160">
        <v>45671</v>
      </c>
      <c r="C194" s="63">
        <v>25</v>
      </c>
      <c r="D194" s="64" t="s">
        <v>141</v>
      </c>
      <c r="E194" s="64" t="s">
        <v>139</v>
      </c>
      <c r="F194" s="161">
        <v>2</v>
      </c>
      <c r="H194" s="59"/>
      <c r="O194"/>
      <c r="P194"/>
    </row>
    <row r="195" spans="1:16" ht="14.4">
      <c r="A195" s="59"/>
      <c r="B195" s="160">
        <v>45673</v>
      </c>
      <c r="C195" s="63">
        <v>10</v>
      </c>
      <c r="D195" s="64" t="s">
        <v>143</v>
      </c>
      <c r="E195" s="64" t="s">
        <v>153</v>
      </c>
      <c r="F195" s="161">
        <v>3</v>
      </c>
      <c r="H195" s="59"/>
      <c r="O195"/>
      <c r="P195"/>
    </row>
    <row r="196" spans="1:16" ht="14.4">
      <c r="A196" s="59"/>
      <c r="B196" s="160">
        <v>45673</v>
      </c>
      <c r="C196" s="63">
        <v>93</v>
      </c>
      <c r="D196" s="64" t="s">
        <v>150</v>
      </c>
      <c r="E196" s="64" t="s">
        <v>144</v>
      </c>
      <c r="F196" s="161">
        <v>2</v>
      </c>
      <c r="H196" s="59"/>
      <c r="O196"/>
      <c r="P196"/>
    </row>
    <row r="197" spans="1:16" ht="14.4">
      <c r="A197" s="59"/>
      <c r="B197" s="160">
        <v>45678</v>
      </c>
      <c r="C197" s="63">
        <v>24</v>
      </c>
      <c r="D197" s="64" t="s">
        <v>146</v>
      </c>
      <c r="E197" s="64" t="s">
        <v>142</v>
      </c>
      <c r="F197" s="161">
        <v>2</v>
      </c>
      <c r="H197" s="59"/>
      <c r="O197"/>
      <c r="P197"/>
    </row>
    <row r="198" spans="1:16" ht="14.4">
      <c r="A198" s="59"/>
      <c r="B198" s="160">
        <v>45680</v>
      </c>
      <c r="C198" s="63">
        <v>14</v>
      </c>
      <c r="D198" s="64" t="s">
        <v>138</v>
      </c>
      <c r="E198" s="64" t="s">
        <v>156</v>
      </c>
      <c r="F198" s="161">
        <v>1</v>
      </c>
      <c r="H198" s="59"/>
      <c r="O198"/>
      <c r="P198"/>
    </row>
    <row r="199" spans="1:16" ht="14.4">
      <c r="A199" s="59"/>
      <c r="B199" s="160">
        <v>45681</v>
      </c>
      <c r="C199" s="63">
        <v>47</v>
      </c>
      <c r="D199" s="64" t="s">
        <v>151</v>
      </c>
      <c r="E199" s="64" t="s">
        <v>148</v>
      </c>
      <c r="F199" s="161">
        <v>3</v>
      </c>
      <c r="H199" s="59"/>
      <c r="O199"/>
      <c r="P199"/>
    </row>
    <row r="200" spans="1:16" ht="14.4">
      <c r="A200" s="59"/>
      <c r="B200" s="160">
        <v>45682</v>
      </c>
      <c r="C200" s="63">
        <v>92</v>
      </c>
      <c r="D200" s="64" t="s">
        <v>141</v>
      </c>
      <c r="E200" s="64" t="s">
        <v>147</v>
      </c>
      <c r="F200" s="161">
        <v>3</v>
      </c>
      <c r="H200" s="59"/>
      <c r="O200"/>
      <c r="P200"/>
    </row>
    <row r="201" spans="1:16" ht="14.4">
      <c r="A201" s="59"/>
      <c r="B201" s="160">
        <v>45683</v>
      </c>
      <c r="C201" s="63">
        <v>33</v>
      </c>
      <c r="D201" s="64" t="s">
        <v>143</v>
      </c>
      <c r="E201" s="64" t="s">
        <v>139</v>
      </c>
      <c r="F201" s="161">
        <v>1</v>
      </c>
      <c r="H201" s="59"/>
      <c r="O201"/>
      <c r="P201"/>
    </row>
    <row r="202" spans="1:16" ht="14.4">
      <c r="A202" s="59"/>
      <c r="B202" s="160">
        <v>45683</v>
      </c>
      <c r="C202" s="63">
        <v>38</v>
      </c>
      <c r="D202" s="64" t="s">
        <v>150</v>
      </c>
      <c r="E202" s="64" t="s">
        <v>153</v>
      </c>
      <c r="F202" s="161">
        <v>3</v>
      </c>
      <c r="H202" s="59"/>
      <c r="O202"/>
      <c r="P202"/>
    </row>
    <row r="203" spans="1:16" ht="14.4">
      <c r="A203" s="59"/>
      <c r="B203" s="160">
        <v>45684</v>
      </c>
      <c r="C203" s="63">
        <v>33</v>
      </c>
      <c r="D203" s="64" t="s">
        <v>146</v>
      </c>
      <c r="E203" s="64" t="s">
        <v>144</v>
      </c>
      <c r="F203" s="161">
        <v>1</v>
      </c>
      <c r="H203" s="59"/>
      <c r="O203"/>
      <c r="P203"/>
    </row>
    <row r="204" spans="1:16" ht="14.4">
      <c r="A204" s="59"/>
      <c r="B204" s="160">
        <v>45685</v>
      </c>
      <c r="C204" s="63">
        <v>30</v>
      </c>
      <c r="D204" s="64" t="s">
        <v>138</v>
      </c>
      <c r="E204" s="64" t="s">
        <v>142</v>
      </c>
      <c r="F204" s="161">
        <v>2</v>
      </c>
      <c r="H204" s="59"/>
      <c r="O204"/>
      <c r="P204"/>
    </row>
    <row r="205" spans="1:16" ht="14.4">
      <c r="A205" s="59"/>
      <c r="B205" s="160">
        <v>45686</v>
      </c>
      <c r="C205" s="63">
        <v>32</v>
      </c>
      <c r="D205" s="64" t="s">
        <v>151</v>
      </c>
      <c r="E205" s="64" t="s">
        <v>156</v>
      </c>
      <c r="F205" s="161">
        <v>4</v>
      </c>
      <c r="H205" s="59"/>
      <c r="O205"/>
      <c r="P205"/>
    </row>
    <row r="206" spans="1:16" ht="14.4">
      <c r="A206" s="59"/>
      <c r="B206" s="160">
        <v>45687</v>
      </c>
      <c r="C206" s="63">
        <v>81</v>
      </c>
      <c r="D206" s="64" t="s">
        <v>141</v>
      </c>
      <c r="E206" s="64" t="s">
        <v>148</v>
      </c>
      <c r="F206" s="161">
        <v>2</v>
      </c>
      <c r="H206" s="59"/>
      <c r="O206"/>
      <c r="P206"/>
    </row>
    <row r="207" spans="1:16" ht="14.4">
      <c r="A207" s="59"/>
      <c r="B207" s="160">
        <v>45688</v>
      </c>
      <c r="C207" s="63">
        <v>13</v>
      </c>
      <c r="D207" s="64" t="s">
        <v>143</v>
      </c>
      <c r="E207" s="64" t="s">
        <v>147</v>
      </c>
      <c r="F207" s="161">
        <v>1</v>
      </c>
      <c r="H207" s="59"/>
      <c r="O207"/>
      <c r="P207"/>
    </row>
    <row r="208" spans="1:16" ht="14.4">
      <c r="A208" s="59"/>
      <c r="B208" s="160">
        <v>45689</v>
      </c>
      <c r="C208" s="63">
        <v>81</v>
      </c>
      <c r="D208" s="64" t="s">
        <v>150</v>
      </c>
      <c r="E208" s="64" t="s">
        <v>139</v>
      </c>
      <c r="F208" s="161">
        <v>3</v>
      </c>
      <c r="H208" s="59"/>
      <c r="O208"/>
      <c r="P208"/>
    </row>
    <row r="209" spans="1:16" ht="14.4">
      <c r="A209" s="59"/>
      <c r="B209" s="160">
        <v>45689</v>
      </c>
      <c r="C209" s="63">
        <v>40</v>
      </c>
      <c r="D209" s="64" t="s">
        <v>146</v>
      </c>
      <c r="E209" s="64" t="s">
        <v>153</v>
      </c>
      <c r="F209" s="161">
        <v>4</v>
      </c>
      <c r="H209" s="59"/>
      <c r="O209"/>
      <c r="P209"/>
    </row>
    <row r="210" spans="1:16" ht="14.4">
      <c r="A210" s="59"/>
      <c r="B210" s="160">
        <v>45690</v>
      </c>
      <c r="C210" s="63">
        <v>85</v>
      </c>
      <c r="D210" s="64" t="s">
        <v>138</v>
      </c>
      <c r="E210" s="64" t="s">
        <v>144</v>
      </c>
      <c r="F210" s="161">
        <v>3</v>
      </c>
      <c r="H210" s="59"/>
      <c r="O210"/>
      <c r="P210"/>
    </row>
    <row r="211" spans="1:16" ht="14.4">
      <c r="A211" s="59"/>
      <c r="B211" s="160">
        <v>45692</v>
      </c>
      <c r="C211" s="63">
        <v>23</v>
      </c>
      <c r="D211" s="64" t="s">
        <v>151</v>
      </c>
      <c r="E211" s="64" t="s">
        <v>142</v>
      </c>
      <c r="F211" s="161">
        <v>1</v>
      </c>
      <c r="H211" s="59"/>
      <c r="O211"/>
      <c r="P211"/>
    </row>
    <row r="212" spans="1:16" ht="14.4">
      <c r="A212" s="59"/>
      <c r="B212" s="160">
        <v>45692</v>
      </c>
      <c r="C212" s="63">
        <v>92</v>
      </c>
      <c r="D212" s="64" t="s">
        <v>141</v>
      </c>
      <c r="E212" s="64" t="s">
        <v>156</v>
      </c>
      <c r="F212" s="161">
        <v>1</v>
      </c>
      <c r="H212" s="59"/>
      <c r="O212"/>
      <c r="P212"/>
    </row>
    <row r="213" spans="1:16" ht="14.4">
      <c r="A213" s="59"/>
      <c r="B213" s="160">
        <v>45693</v>
      </c>
      <c r="C213" s="63">
        <v>20</v>
      </c>
      <c r="D213" s="64" t="s">
        <v>143</v>
      </c>
      <c r="E213" s="64" t="s">
        <v>148</v>
      </c>
      <c r="F213" s="161">
        <v>3</v>
      </c>
      <c r="H213" s="59"/>
      <c r="O213"/>
      <c r="P213"/>
    </row>
    <row r="214" spans="1:16" ht="14.4">
      <c r="A214" s="59"/>
      <c r="B214" s="160">
        <v>45693</v>
      </c>
      <c r="C214" s="63">
        <v>42</v>
      </c>
      <c r="D214" s="64" t="s">
        <v>150</v>
      </c>
      <c r="E214" s="64" t="s">
        <v>147</v>
      </c>
      <c r="F214" s="161">
        <v>4</v>
      </c>
      <c r="H214" s="59"/>
      <c r="O214"/>
      <c r="P214"/>
    </row>
    <row r="215" spans="1:16" ht="14.4">
      <c r="A215" s="59"/>
      <c r="B215" s="160">
        <v>45694</v>
      </c>
      <c r="C215" s="63">
        <v>65</v>
      </c>
      <c r="D215" s="64" t="s">
        <v>146</v>
      </c>
      <c r="E215" s="64" t="s">
        <v>139</v>
      </c>
      <c r="F215" s="161">
        <v>4</v>
      </c>
      <c r="H215" s="59"/>
      <c r="O215"/>
      <c r="P215"/>
    </row>
    <row r="216" spans="1:16" ht="14.4">
      <c r="A216" s="59"/>
      <c r="B216" s="160">
        <v>45694</v>
      </c>
      <c r="C216" s="63">
        <v>66</v>
      </c>
      <c r="D216" s="64" t="s">
        <v>138</v>
      </c>
      <c r="E216" s="64" t="s">
        <v>153</v>
      </c>
      <c r="F216" s="161">
        <v>3</v>
      </c>
      <c r="H216" s="59"/>
      <c r="O216"/>
      <c r="P216"/>
    </row>
    <row r="217" spans="1:16" ht="14.4">
      <c r="A217" s="59"/>
      <c r="B217" s="160">
        <v>45695</v>
      </c>
      <c r="C217" s="63">
        <v>5</v>
      </c>
      <c r="D217" s="64" t="s">
        <v>151</v>
      </c>
      <c r="E217" s="64" t="s">
        <v>144</v>
      </c>
      <c r="F217" s="161">
        <v>3</v>
      </c>
      <c r="H217" s="59"/>
      <c r="O217"/>
      <c r="P217"/>
    </row>
    <row r="218" spans="1:16" ht="14.4">
      <c r="A218" s="59"/>
      <c r="B218" s="160">
        <v>45695</v>
      </c>
      <c r="C218" s="63">
        <v>79</v>
      </c>
      <c r="D218" s="64" t="s">
        <v>141</v>
      </c>
      <c r="E218" s="64" t="s">
        <v>142</v>
      </c>
      <c r="F218" s="161">
        <v>3</v>
      </c>
      <c r="H218" s="59"/>
      <c r="O218"/>
      <c r="P218"/>
    </row>
    <row r="219" spans="1:16" ht="14.4">
      <c r="A219" s="59"/>
      <c r="B219" s="160">
        <v>45695</v>
      </c>
      <c r="C219" s="63">
        <v>8</v>
      </c>
      <c r="D219" s="64" t="s">
        <v>143</v>
      </c>
      <c r="E219" s="64" t="s">
        <v>156</v>
      </c>
      <c r="F219" s="161">
        <v>2</v>
      </c>
      <c r="H219" s="59"/>
      <c r="O219"/>
      <c r="P219"/>
    </row>
    <row r="220" spans="1:16" ht="14.4">
      <c r="A220" s="59"/>
      <c r="B220" s="160">
        <v>45695</v>
      </c>
      <c r="C220" s="63">
        <v>41</v>
      </c>
      <c r="D220" s="64" t="s">
        <v>150</v>
      </c>
      <c r="E220" s="64" t="s">
        <v>148</v>
      </c>
      <c r="F220" s="161">
        <v>1</v>
      </c>
      <c r="H220" s="59"/>
      <c r="O220"/>
      <c r="P220"/>
    </row>
    <row r="221" spans="1:16" ht="14.4">
      <c r="A221" s="59"/>
      <c r="B221" s="160">
        <v>45696</v>
      </c>
      <c r="C221" s="63">
        <v>84</v>
      </c>
      <c r="D221" s="64" t="s">
        <v>146</v>
      </c>
      <c r="E221" s="64" t="s">
        <v>147</v>
      </c>
      <c r="F221" s="161">
        <v>3</v>
      </c>
      <c r="H221" s="59"/>
      <c r="O221"/>
      <c r="P221"/>
    </row>
    <row r="222" spans="1:16" ht="14.4">
      <c r="A222" s="59"/>
      <c r="B222" s="160">
        <v>45697</v>
      </c>
      <c r="C222" s="63">
        <v>83</v>
      </c>
      <c r="D222" s="64" t="s">
        <v>138</v>
      </c>
      <c r="E222" s="64" t="s">
        <v>139</v>
      </c>
      <c r="F222" s="161">
        <v>2</v>
      </c>
      <c r="H222" s="59"/>
      <c r="O222"/>
      <c r="P222"/>
    </row>
    <row r="223" spans="1:16" ht="14.4">
      <c r="A223" s="59"/>
      <c r="B223" s="160">
        <v>45698</v>
      </c>
      <c r="C223" s="63">
        <v>25</v>
      </c>
      <c r="D223" s="64" t="s">
        <v>151</v>
      </c>
      <c r="E223" s="64" t="s">
        <v>153</v>
      </c>
      <c r="F223" s="161">
        <v>3</v>
      </c>
      <c r="H223" s="59"/>
      <c r="O223"/>
      <c r="P223"/>
    </row>
    <row r="224" spans="1:16" ht="14.4">
      <c r="A224" s="59"/>
      <c r="B224" s="160">
        <v>45699</v>
      </c>
      <c r="C224" s="63">
        <v>48</v>
      </c>
      <c r="D224" s="64" t="s">
        <v>141</v>
      </c>
      <c r="E224" s="64" t="s">
        <v>144</v>
      </c>
      <c r="F224" s="161">
        <v>1</v>
      </c>
      <c r="H224" s="59"/>
      <c r="O224"/>
      <c r="P224"/>
    </row>
    <row r="225" spans="1:16" ht="14.4">
      <c r="A225" s="59"/>
      <c r="B225" s="160">
        <v>45700</v>
      </c>
      <c r="C225" s="63">
        <v>96</v>
      </c>
      <c r="D225" s="64" t="s">
        <v>143</v>
      </c>
      <c r="E225" s="64" t="s">
        <v>142</v>
      </c>
      <c r="F225" s="161">
        <v>4</v>
      </c>
      <c r="H225" s="59"/>
      <c r="O225"/>
      <c r="P225"/>
    </row>
    <row r="226" spans="1:16" ht="14.4">
      <c r="A226" s="59"/>
      <c r="B226" s="160">
        <v>45700</v>
      </c>
      <c r="C226" s="63">
        <v>51</v>
      </c>
      <c r="D226" s="64" t="s">
        <v>150</v>
      </c>
      <c r="E226" s="64" t="s">
        <v>156</v>
      </c>
      <c r="F226" s="161">
        <v>2</v>
      </c>
      <c r="H226" s="59"/>
      <c r="O226"/>
      <c r="P226"/>
    </row>
    <row r="227" spans="1:16" ht="14.4">
      <c r="A227" s="59"/>
      <c r="B227" s="160">
        <v>45700</v>
      </c>
      <c r="C227" s="63">
        <v>76</v>
      </c>
      <c r="D227" s="64" t="s">
        <v>146</v>
      </c>
      <c r="E227" s="64" t="s">
        <v>148</v>
      </c>
      <c r="F227" s="161">
        <v>1</v>
      </c>
      <c r="H227" s="59"/>
      <c r="O227"/>
      <c r="P227"/>
    </row>
    <row r="228" spans="1:16" ht="14.4">
      <c r="A228" s="59"/>
      <c r="B228" s="160">
        <v>45701</v>
      </c>
      <c r="C228" s="63">
        <v>64</v>
      </c>
      <c r="D228" s="64" t="s">
        <v>138</v>
      </c>
      <c r="E228" s="64" t="s">
        <v>147</v>
      </c>
      <c r="F228" s="161">
        <v>3</v>
      </c>
      <c r="H228" s="59"/>
      <c r="O228"/>
      <c r="P228"/>
    </row>
    <row r="229" spans="1:16" ht="14.4">
      <c r="A229" s="59"/>
      <c r="B229" s="160">
        <v>45702</v>
      </c>
      <c r="C229" s="63">
        <v>96</v>
      </c>
      <c r="D229" s="64" t="s">
        <v>151</v>
      </c>
      <c r="E229" s="64" t="s">
        <v>139</v>
      </c>
      <c r="F229" s="161">
        <v>1</v>
      </c>
      <c r="H229" s="59"/>
      <c r="O229"/>
      <c r="P229"/>
    </row>
    <row r="230" spans="1:16" ht="14.4">
      <c r="A230" s="59"/>
      <c r="B230" s="160">
        <v>45704</v>
      </c>
      <c r="C230" s="63">
        <v>39</v>
      </c>
      <c r="D230" s="64" t="s">
        <v>141</v>
      </c>
      <c r="E230" s="64" t="s">
        <v>153</v>
      </c>
      <c r="F230" s="161">
        <v>4</v>
      </c>
      <c r="H230" s="59"/>
      <c r="O230"/>
      <c r="P230"/>
    </row>
    <row r="231" spans="1:16" ht="14.4">
      <c r="A231" s="59"/>
      <c r="B231" s="160">
        <v>45706</v>
      </c>
      <c r="C231" s="63">
        <v>55</v>
      </c>
      <c r="D231" s="64" t="s">
        <v>143</v>
      </c>
      <c r="E231" s="64" t="s">
        <v>144</v>
      </c>
      <c r="F231" s="161">
        <v>4</v>
      </c>
      <c r="H231" s="59"/>
      <c r="O231"/>
      <c r="P231"/>
    </row>
    <row r="232" spans="1:16" ht="14.4">
      <c r="A232" s="59"/>
      <c r="B232" s="160">
        <v>45709</v>
      </c>
      <c r="C232" s="63">
        <v>37</v>
      </c>
      <c r="D232" s="64" t="s">
        <v>150</v>
      </c>
      <c r="E232" s="64" t="s">
        <v>142</v>
      </c>
      <c r="F232" s="161">
        <v>2</v>
      </c>
      <c r="H232" s="59"/>
      <c r="O232"/>
      <c r="P232"/>
    </row>
    <row r="233" spans="1:16" ht="14.4">
      <c r="A233" s="59"/>
      <c r="B233" s="160">
        <v>45709</v>
      </c>
      <c r="C233" s="63">
        <v>12</v>
      </c>
      <c r="D233" s="64" t="s">
        <v>146</v>
      </c>
      <c r="E233" s="64" t="s">
        <v>156</v>
      </c>
      <c r="F233" s="161">
        <v>2</v>
      </c>
      <c r="H233" s="59"/>
      <c r="O233"/>
      <c r="P233"/>
    </row>
    <row r="234" spans="1:16" ht="14.4">
      <c r="A234" s="59"/>
      <c r="B234" s="160">
        <v>45714</v>
      </c>
      <c r="C234" s="63">
        <v>81</v>
      </c>
      <c r="D234" s="64" t="s">
        <v>138</v>
      </c>
      <c r="E234" s="64" t="s">
        <v>148</v>
      </c>
      <c r="F234" s="161">
        <v>1</v>
      </c>
      <c r="H234" s="59"/>
      <c r="O234"/>
      <c r="P234"/>
    </row>
    <row r="235" spans="1:16" ht="14.4">
      <c r="A235" s="59"/>
      <c r="B235" s="160">
        <v>45716</v>
      </c>
      <c r="C235" s="63">
        <v>68</v>
      </c>
      <c r="D235" s="64" t="s">
        <v>151</v>
      </c>
      <c r="E235" s="64" t="s">
        <v>147</v>
      </c>
      <c r="F235" s="161">
        <v>1</v>
      </c>
      <c r="H235" s="59"/>
      <c r="O235"/>
      <c r="P235"/>
    </row>
    <row r="236" spans="1:16" ht="14.4">
      <c r="A236" s="59"/>
      <c r="B236" s="160">
        <v>45717</v>
      </c>
      <c r="C236" s="63">
        <v>90</v>
      </c>
      <c r="D236" s="64" t="s">
        <v>141</v>
      </c>
      <c r="E236" s="64" t="s">
        <v>139</v>
      </c>
      <c r="F236" s="161">
        <v>4</v>
      </c>
      <c r="H236" s="59"/>
      <c r="O236"/>
      <c r="P236"/>
    </row>
    <row r="237" spans="1:16" ht="14.4">
      <c r="A237" s="59"/>
      <c r="B237" s="160">
        <v>45717</v>
      </c>
      <c r="C237" s="63">
        <v>86</v>
      </c>
      <c r="D237" s="64" t="s">
        <v>143</v>
      </c>
      <c r="E237" s="64" t="s">
        <v>153</v>
      </c>
      <c r="F237" s="161">
        <v>3</v>
      </c>
      <c r="H237" s="59"/>
      <c r="O237"/>
      <c r="P237"/>
    </row>
    <row r="238" spans="1:16" ht="14.4">
      <c r="A238" s="59"/>
      <c r="B238" s="160">
        <v>45718</v>
      </c>
      <c r="C238" s="63">
        <v>96</v>
      </c>
      <c r="D238" s="64" t="s">
        <v>150</v>
      </c>
      <c r="E238" s="64" t="s">
        <v>144</v>
      </c>
      <c r="F238" s="161">
        <v>1</v>
      </c>
      <c r="H238" s="59"/>
      <c r="O238"/>
      <c r="P238"/>
    </row>
    <row r="239" spans="1:16" ht="14.4">
      <c r="A239" s="59"/>
      <c r="B239" s="160">
        <v>45720</v>
      </c>
      <c r="C239" s="63">
        <v>46</v>
      </c>
      <c r="D239" s="64" t="s">
        <v>146</v>
      </c>
      <c r="E239" s="64" t="s">
        <v>142</v>
      </c>
      <c r="F239" s="161">
        <v>1</v>
      </c>
      <c r="H239" s="59"/>
      <c r="O239"/>
      <c r="P239"/>
    </row>
    <row r="240" spans="1:16" ht="14.4">
      <c r="A240" s="59"/>
      <c r="B240" s="160">
        <v>45721</v>
      </c>
      <c r="C240" s="63">
        <v>47</v>
      </c>
      <c r="D240" s="64" t="s">
        <v>138</v>
      </c>
      <c r="E240" s="64" t="s">
        <v>156</v>
      </c>
      <c r="F240" s="161">
        <v>2</v>
      </c>
      <c r="H240" s="59"/>
      <c r="O240"/>
      <c r="P240"/>
    </row>
    <row r="241" spans="1:16" ht="14.4">
      <c r="A241" s="59"/>
      <c r="B241" s="160">
        <v>45723</v>
      </c>
      <c r="C241" s="63">
        <v>6</v>
      </c>
      <c r="D241" s="64" t="s">
        <v>151</v>
      </c>
      <c r="E241" s="64" t="s">
        <v>148</v>
      </c>
      <c r="F241" s="161">
        <v>4</v>
      </c>
      <c r="H241" s="59"/>
      <c r="O241"/>
      <c r="P241"/>
    </row>
    <row r="242" spans="1:16" ht="14.4">
      <c r="A242" s="59"/>
      <c r="B242" s="160">
        <v>45724</v>
      </c>
      <c r="C242" s="63">
        <v>62</v>
      </c>
      <c r="D242" s="64" t="s">
        <v>141</v>
      </c>
      <c r="E242" s="64" t="s">
        <v>147</v>
      </c>
      <c r="F242" s="161">
        <v>3</v>
      </c>
      <c r="H242" s="59"/>
      <c r="O242"/>
      <c r="P242"/>
    </row>
    <row r="243" spans="1:16" ht="14.4">
      <c r="A243" s="59"/>
      <c r="B243" s="160">
        <v>45724</v>
      </c>
      <c r="C243" s="63">
        <v>63</v>
      </c>
      <c r="D243" s="64" t="s">
        <v>143</v>
      </c>
      <c r="E243" s="64" t="s">
        <v>139</v>
      </c>
      <c r="F243" s="161">
        <v>3</v>
      </c>
      <c r="H243" s="59"/>
      <c r="O243"/>
      <c r="P243"/>
    </row>
    <row r="244" spans="1:16" ht="14.4">
      <c r="A244" s="59"/>
      <c r="B244" s="160">
        <v>45725</v>
      </c>
      <c r="C244" s="63">
        <v>25</v>
      </c>
      <c r="D244" s="64" t="s">
        <v>150</v>
      </c>
      <c r="E244" s="64" t="s">
        <v>153</v>
      </c>
      <c r="F244" s="161">
        <v>1</v>
      </c>
      <c r="H244" s="59"/>
      <c r="O244"/>
      <c r="P244"/>
    </row>
    <row r="245" spans="1:16" ht="14.4">
      <c r="A245" s="59"/>
      <c r="B245" s="160">
        <v>45727</v>
      </c>
      <c r="C245" s="63">
        <v>60</v>
      </c>
      <c r="D245" s="64" t="s">
        <v>146</v>
      </c>
      <c r="E245" s="64" t="s">
        <v>144</v>
      </c>
      <c r="F245" s="161">
        <v>3</v>
      </c>
      <c r="H245" s="59"/>
      <c r="O245"/>
      <c r="P245"/>
    </row>
    <row r="246" spans="1:16" ht="14.4">
      <c r="A246" s="59"/>
      <c r="B246" s="160">
        <v>45729</v>
      </c>
      <c r="C246" s="63">
        <v>66</v>
      </c>
      <c r="D246" s="64" t="s">
        <v>138</v>
      </c>
      <c r="E246" s="64" t="s">
        <v>142</v>
      </c>
      <c r="F246" s="161">
        <v>3</v>
      </c>
      <c r="H246" s="59"/>
      <c r="O246"/>
      <c r="P246"/>
    </row>
    <row r="247" spans="1:16" ht="14.4">
      <c r="A247" s="59"/>
      <c r="B247" s="160">
        <v>45730</v>
      </c>
      <c r="C247" s="63">
        <v>11</v>
      </c>
      <c r="D247" s="64" t="s">
        <v>151</v>
      </c>
      <c r="E247" s="64" t="s">
        <v>156</v>
      </c>
      <c r="F247" s="161">
        <v>4</v>
      </c>
      <c r="H247" s="59"/>
      <c r="O247"/>
      <c r="P247"/>
    </row>
    <row r="248" spans="1:16" ht="14.4">
      <c r="A248" s="59"/>
      <c r="B248" s="160">
        <v>45730</v>
      </c>
      <c r="C248" s="63">
        <v>87</v>
      </c>
      <c r="D248" s="64" t="s">
        <v>141</v>
      </c>
      <c r="E248" s="64" t="s">
        <v>148</v>
      </c>
      <c r="F248" s="161">
        <v>3</v>
      </c>
      <c r="H248" s="59"/>
      <c r="O248"/>
      <c r="P248"/>
    </row>
    <row r="249" spans="1:16" ht="14.4">
      <c r="A249" s="59"/>
      <c r="B249" s="160">
        <v>45731</v>
      </c>
      <c r="C249" s="63">
        <v>6</v>
      </c>
      <c r="D249" s="64" t="s">
        <v>143</v>
      </c>
      <c r="E249" s="64" t="s">
        <v>147</v>
      </c>
      <c r="F249" s="161">
        <v>2</v>
      </c>
      <c r="H249" s="59"/>
      <c r="O249"/>
      <c r="P249"/>
    </row>
    <row r="250" spans="1:16" ht="14.4">
      <c r="A250" s="59"/>
      <c r="B250" s="160">
        <v>45732</v>
      </c>
      <c r="C250" s="63">
        <v>87</v>
      </c>
      <c r="D250" s="64" t="s">
        <v>150</v>
      </c>
      <c r="E250" s="64" t="s">
        <v>139</v>
      </c>
      <c r="F250" s="161">
        <v>1</v>
      </c>
      <c r="H250" s="59"/>
      <c r="O250"/>
      <c r="P250"/>
    </row>
    <row r="251" spans="1:16" ht="14.4">
      <c r="A251" s="59"/>
      <c r="B251" s="160">
        <v>45732</v>
      </c>
      <c r="C251" s="63">
        <v>98</v>
      </c>
      <c r="D251" s="64" t="s">
        <v>146</v>
      </c>
      <c r="E251" s="64" t="s">
        <v>153</v>
      </c>
      <c r="F251" s="161">
        <v>4</v>
      </c>
      <c r="H251" s="59"/>
      <c r="O251"/>
      <c r="P251"/>
    </row>
    <row r="252" spans="1:16" ht="14.4">
      <c r="A252" s="59"/>
      <c r="B252" s="160">
        <v>45732</v>
      </c>
      <c r="C252" s="63">
        <v>5</v>
      </c>
      <c r="D252" s="64" t="s">
        <v>138</v>
      </c>
      <c r="E252" s="64" t="s">
        <v>144</v>
      </c>
      <c r="F252" s="161">
        <v>2</v>
      </c>
      <c r="H252" s="59"/>
      <c r="O252"/>
      <c r="P252"/>
    </row>
    <row r="253" spans="1:16" ht="14.4">
      <c r="A253" s="59"/>
      <c r="B253" s="160">
        <v>45733</v>
      </c>
      <c r="C253" s="63">
        <v>70</v>
      </c>
      <c r="D253" s="64" t="s">
        <v>151</v>
      </c>
      <c r="E253" s="64" t="s">
        <v>142</v>
      </c>
      <c r="F253" s="161">
        <v>2</v>
      </c>
      <c r="H253" s="59"/>
      <c r="O253"/>
      <c r="P253"/>
    </row>
    <row r="254" spans="1:16" ht="14.4">
      <c r="A254" s="59"/>
      <c r="B254" s="160">
        <v>45733</v>
      </c>
      <c r="C254" s="63">
        <v>80</v>
      </c>
      <c r="D254" s="64" t="s">
        <v>141</v>
      </c>
      <c r="E254" s="64" t="s">
        <v>156</v>
      </c>
      <c r="F254" s="161">
        <v>2</v>
      </c>
      <c r="H254" s="59"/>
      <c r="O254"/>
      <c r="P254"/>
    </row>
    <row r="255" spans="1:16" ht="14.4">
      <c r="A255" s="59"/>
      <c r="B255" s="160">
        <v>45735</v>
      </c>
      <c r="C255" s="63">
        <v>69</v>
      </c>
      <c r="D255" s="64" t="s">
        <v>143</v>
      </c>
      <c r="E255" s="64" t="s">
        <v>148</v>
      </c>
      <c r="F255" s="161">
        <v>4</v>
      </c>
      <c r="H255" s="59"/>
      <c r="O255"/>
      <c r="P255"/>
    </row>
    <row r="256" spans="1:16" ht="14.4">
      <c r="A256" s="59"/>
      <c r="B256" s="160">
        <v>45737</v>
      </c>
      <c r="C256" s="63">
        <v>10</v>
      </c>
      <c r="D256" s="64" t="s">
        <v>150</v>
      </c>
      <c r="E256" s="64" t="s">
        <v>147</v>
      </c>
      <c r="F256" s="161">
        <v>1</v>
      </c>
      <c r="H256" s="59"/>
      <c r="O256"/>
      <c r="P256"/>
    </row>
    <row r="257" spans="1:16" ht="14.4">
      <c r="A257" s="59"/>
      <c r="B257" s="160">
        <v>45741</v>
      </c>
      <c r="C257" s="63">
        <v>27</v>
      </c>
      <c r="D257" s="64" t="s">
        <v>146</v>
      </c>
      <c r="E257" s="64" t="s">
        <v>139</v>
      </c>
      <c r="F257" s="161">
        <v>4</v>
      </c>
      <c r="H257" s="59"/>
      <c r="O257"/>
      <c r="P257"/>
    </row>
    <row r="258" spans="1:16" ht="14.4">
      <c r="A258" s="59"/>
      <c r="B258" s="160">
        <v>45743</v>
      </c>
      <c r="C258" s="63">
        <v>34</v>
      </c>
      <c r="D258" s="64" t="s">
        <v>138</v>
      </c>
      <c r="E258" s="64" t="s">
        <v>153</v>
      </c>
      <c r="F258" s="161">
        <v>4</v>
      </c>
      <c r="H258" s="59"/>
      <c r="O258"/>
      <c r="P258"/>
    </row>
    <row r="259" spans="1:16" ht="14.4">
      <c r="A259" s="59"/>
      <c r="B259" s="160">
        <v>45743</v>
      </c>
      <c r="C259" s="63">
        <v>59</v>
      </c>
      <c r="D259" s="64" t="s">
        <v>151</v>
      </c>
      <c r="E259" s="64" t="s">
        <v>144</v>
      </c>
      <c r="F259" s="161">
        <v>3</v>
      </c>
      <c r="H259" s="59"/>
      <c r="O259"/>
      <c r="P259"/>
    </row>
    <row r="260" spans="1:16" ht="14.4">
      <c r="A260" s="59"/>
      <c r="B260" s="160">
        <v>45744</v>
      </c>
      <c r="C260" s="63">
        <v>19</v>
      </c>
      <c r="D260" s="64" t="s">
        <v>141</v>
      </c>
      <c r="E260" s="64" t="s">
        <v>142</v>
      </c>
      <c r="F260" s="161">
        <v>4</v>
      </c>
      <c r="H260" s="59"/>
      <c r="O260"/>
      <c r="P260"/>
    </row>
    <row r="261" spans="1:16" ht="14.4">
      <c r="A261" s="59"/>
      <c r="B261" s="160">
        <v>45745</v>
      </c>
      <c r="C261" s="63">
        <v>73</v>
      </c>
      <c r="D261" s="64" t="s">
        <v>143</v>
      </c>
      <c r="E261" s="64" t="s">
        <v>156</v>
      </c>
      <c r="F261" s="161">
        <v>1</v>
      </c>
      <c r="H261" s="59"/>
      <c r="O261"/>
      <c r="P261"/>
    </row>
    <row r="262" spans="1:16" ht="14.4">
      <c r="A262" s="59"/>
      <c r="B262" s="160">
        <v>45746</v>
      </c>
      <c r="C262" s="63">
        <v>33</v>
      </c>
      <c r="D262" s="64" t="s">
        <v>150</v>
      </c>
      <c r="E262" s="64" t="s">
        <v>148</v>
      </c>
      <c r="F262" s="161">
        <v>4</v>
      </c>
      <c r="H262" s="59"/>
      <c r="O262"/>
      <c r="P262"/>
    </row>
    <row r="263" spans="1:16" ht="14.4">
      <c r="A263" s="59"/>
      <c r="B263" s="160">
        <v>45746</v>
      </c>
      <c r="C263" s="63">
        <v>76</v>
      </c>
      <c r="D263" s="64" t="s">
        <v>146</v>
      </c>
      <c r="E263" s="64" t="s">
        <v>147</v>
      </c>
      <c r="F263" s="161">
        <v>1</v>
      </c>
      <c r="H263" s="59"/>
      <c r="O263"/>
      <c r="P263"/>
    </row>
    <row r="264" spans="1:16" ht="14.4">
      <c r="A264" s="59"/>
      <c r="B264" s="160">
        <v>45747</v>
      </c>
      <c r="C264" s="63">
        <v>49</v>
      </c>
      <c r="D264" s="64" t="s">
        <v>138</v>
      </c>
      <c r="E264" s="64" t="s">
        <v>139</v>
      </c>
      <c r="F264" s="161">
        <v>1</v>
      </c>
      <c r="H264" s="59"/>
      <c r="O264"/>
      <c r="P264"/>
    </row>
    <row r="265" spans="1:16" ht="14.4">
      <c r="A265" s="59"/>
      <c r="B265" s="160">
        <v>45747</v>
      </c>
      <c r="C265" s="63">
        <v>24</v>
      </c>
      <c r="D265" s="64" t="s">
        <v>151</v>
      </c>
      <c r="E265" s="64" t="s">
        <v>153</v>
      </c>
      <c r="F265" s="161">
        <v>1</v>
      </c>
      <c r="H265" s="59"/>
      <c r="O265"/>
      <c r="P265"/>
    </row>
    <row r="266" spans="1:16" ht="14.4">
      <c r="A266" s="59"/>
      <c r="B266" s="160">
        <v>45748</v>
      </c>
      <c r="C266" s="63">
        <v>18</v>
      </c>
      <c r="D266" s="64" t="s">
        <v>141</v>
      </c>
      <c r="E266" s="64" t="s">
        <v>144</v>
      </c>
      <c r="F266" s="161">
        <v>1</v>
      </c>
      <c r="H266" s="59"/>
      <c r="O266"/>
      <c r="P266"/>
    </row>
    <row r="267" spans="1:16" ht="14.4">
      <c r="A267" s="59"/>
      <c r="B267" s="160">
        <v>45748</v>
      </c>
      <c r="C267" s="63">
        <v>99</v>
      </c>
      <c r="D267" s="64" t="s">
        <v>143</v>
      </c>
      <c r="E267" s="64" t="s">
        <v>142</v>
      </c>
      <c r="F267" s="161">
        <v>2</v>
      </c>
      <c r="H267" s="59"/>
      <c r="O267"/>
      <c r="P267"/>
    </row>
    <row r="268" spans="1:16" ht="14.4">
      <c r="A268" s="59"/>
      <c r="B268" s="160">
        <v>45749</v>
      </c>
      <c r="C268" s="63">
        <v>56</v>
      </c>
      <c r="D268" s="64" t="s">
        <v>150</v>
      </c>
      <c r="E268" s="64" t="s">
        <v>156</v>
      </c>
      <c r="F268" s="161">
        <v>1</v>
      </c>
      <c r="H268" s="59"/>
      <c r="O268"/>
      <c r="P268"/>
    </row>
    <row r="269" spans="1:16" ht="14.4">
      <c r="A269" s="59"/>
      <c r="B269" s="160">
        <v>45751</v>
      </c>
      <c r="C269" s="63">
        <v>73</v>
      </c>
      <c r="D269" s="64" t="s">
        <v>146</v>
      </c>
      <c r="E269" s="64" t="s">
        <v>148</v>
      </c>
      <c r="F269" s="161">
        <v>3</v>
      </c>
      <c r="H269" s="59"/>
      <c r="O269"/>
      <c r="P269"/>
    </row>
    <row r="270" spans="1:16" ht="14.4">
      <c r="A270" s="59"/>
      <c r="B270" s="160">
        <v>45752</v>
      </c>
      <c r="C270" s="63">
        <v>9</v>
      </c>
      <c r="D270" s="64" t="s">
        <v>138</v>
      </c>
      <c r="E270" s="64" t="s">
        <v>147</v>
      </c>
      <c r="F270" s="161">
        <v>3</v>
      </c>
      <c r="H270" s="59"/>
      <c r="O270"/>
      <c r="P270"/>
    </row>
    <row r="271" spans="1:16" ht="14.4">
      <c r="A271" s="59"/>
      <c r="B271" s="160">
        <v>45757</v>
      </c>
      <c r="C271" s="63">
        <v>80</v>
      </c>
      <c r="D271" s="64" t="s">
        <v>151</v>
      </c>
      <c r="E271" s="64" t="s">
        <v>139</v>
      </c>
      <c r="F271" s="161">
        <v>1</v>
      </c>
      <c r="H271" s="59"/>
      <c r="O271"/>
      <c r="P271"/>
    </row>
    <row r="272" spans="1:16" ht="14.4">
      <c r="A272" s="59"/>
      <c r="B272" s="160">
        <v>45760</v>
      </c>
      <c r="C272" s="63">
        <v>85</v>
      </c>
      <c r="D272" s="64" t="s">
        <v>141</v>
      </c>
      <c r="E272" s="64" t="s">
        <v>153</v>
      </c>
      <c r="F272" s="161">
        <v>2</v>
      </c>
      <c r="H272" s="59"/>
      <c r="O272"/>
      <c r="P272"/>
    </row>
    <row r="273" spans="1:16" ht="14.4">
      <c r="A273" s="59"/>
      <c r="B273" s="160">
        <v>45760</v>
      </c>
      <c r="C273" s="63">
        <v>77</v>
      </c>
      <c r="D273" s="64" t="s">
        <v>143</v>
      </c>
      <c r="E273" s="64" t="s">
        <v>144</v>
      </c>
      <c r="F273" s="161">
        <v>2</v>
      </c>
      <c r="H273" s="59"/>
      <c r="O273"/>
      <c r="P273"/>
    </row>
    <row r="274" spans="1:16" ht="14.4">
      <c r="A274" s="59"/>
      <c r="B274" s="160">
        <v>45761</v>
      </c>
      <c r="C274" s="63">
        <v>45</v>
      </c>
      <c r="D274" s="64" t="s">
        <v>150</v>
      </c>
      <c r="E274" s="64" t="s">
        <v>142</v>
      </c>
      <c r="F274" s="161">
        <v>2</v>
      </c>
      <c r="H274" s="59"/>
      <c r="O274"/>
      <c r="P274"/>
    </row>
    <row r="275" spans="1:16" ht="14.4">
      <c r="A275" s="59"/>
      <c r="B275" s="160">
        <v>45762</v>
      </c>
      <c r="C275" s="63">
        <v>55</v>
      </c>
      <c r="D275" s="64" t="s">
        <v>146</v>
      </c>
      <c r="E275" s="64" t="s">
        <v>156</v>
      </c>
      <c r="F275" s="161">
        <v>2</v>
      </c>
      <c r="H275" s="59"/>
      <c r="O275"/>
      <c r="P275"/>
    </row>
    <row r="276" spans="1:16" ht="14.4">
      <c r="A276" s="59"/>
      <c r="B276" s="160">
        <v>45762</v>
      </c>
      <c r="C276" s="63">
        <v>83</v>
      </c>
      <c r="D276" s="64" t="s">
        <v>138</v>
      </c>
      <c r="E276" s="64" t="s">
        <v>148</v>
      </c>
      <c r="F276" s="161">
        <v>4</v>
      </c>
      <c r="H276" s="59"/>
      <c r="O276"/>
      <c r="P276"/>
    </row>
    <row r="277" spans="1:16" ht="14.4">
      <c r="A277" s="59"/>
      <c r="B277" s="160">
        <v>45762</v>
      </c>
      <c r="C277" s="63">
        <v>18</v>
      </c>
      <c r="D277" s="64" t="s">
        <v>151</v>
      </c>
      <c r="E277" s="64" t="s">
        <v>147</v>
      </c>
      <c r="F277" s="161">
        <v>4</v>
      </c>
      <c r="H277" s="59"/>
      <c r="O277"/>
      <c r="P277"/>
    </row>
    <row r="278" spans="1:16" ht="14.4">
      <c r="A278" s="59"/>
      <c r="B278" s="160">
        <v>45763</v>
      </c>
      <c r="C278" s="63">
        <v>84</v>
      </c>
      <c r="D278" s="64" t="s">
        <v>141</v>
      </c>
      <c r="E278" s="64" t="s">
        <v>139</v>
      </c>
      <c r="F278" s="161">
        <v>3</v>
      </c>
      <c r="H278" s="59"/>
      <c r="O278"/>
      <c r="P278"/>
    </row>
    <row r="279" spans="1:16" ht="14.4">
      <c r="A279" s="59"/>
      <c r="B279" s="160">
        <v>45763</v>
      </c>
      <c r="C279" s="63">
        <v>73</v>
      </c>
      <c r="D279" s="64" t="s">
        <v>143</v>
      </c>
      <c r="E279" s="64" t="s">
        <v>153</v>
      </c>
      <c r="F279" s="161">
        <v>3</v>
      </c>
      <c r="H279" s="59"/>
      <c r="O279"/>
      <c r="P279"/>
    </row>
    <row r="280" spans="1:16" ht="14.4">
      <c r="A280" s="59"/>
      <c r="B280" s="160">
        <v>45764</v>
      </c>
      <c r="C280" s="63">
        <v>5</v>
      </c>
      <c r="D280" s="64" t="s">
        <v>150</v>
      </c>
      <c r="E280" s="64" t="s">
        <v>144</v>
      </c>
      <c r="F280" s="161">
        <v>2</v>
      </c>
      <c r="H280" s="59"/>
      <c r="O280"/>
      <c r="P280"/>
    </row>
    <row r="281" spans="1:16" ht="14.4">
      <c r="A281" s="59"/>
      <c r="B281" s="160">
        <v>45764</v>
      </c>
      <c r="C281" s="63">
        <v>47</v>
      </c>
      <c r="D281" s="64" t="s">
        <v>146</v>
      </c>
      <c r="E281" s="64" t="s">
        <v>142</v>
      </c>
      <c r="F281" s="161">
        <v>3</v>
      </c>
      <c r="H281" s="59"/>
      <c r="O281"/>
      <c r="P281"/>
    </row>
    <row r="282" spans="1:16" ht="14.4">
      <c r="A282" s="59"/>
      <c r="B282" s="160">
        <v>45765</v>
      </c>
      <c r="C282" s="63">
        <v>30</v>
      </c>
      <c r="D282" s="64" t="s">
        <v>138</v>
      </c>
      <c r="E282" s="64" t="s">
        <v>156</v>
      </c>
      <c r="F282" s="161">
        <v>4</v>
      </c>
      <c r="H282" s="59"/>
      <c r="O282"/>
      <c r="P282"/>
    </row>
    <row r="283" spans="1:16" ht="14.4">
      <c r="A283" s="59"/>
      <c r="B283" s="160">
        <v>45769</v>
      </c>
      <c r="C283" s="63">
        <v>36</v>
      </c>
      <c r="D283" s="64" t="s">
        <v>151</v>
      </c>
      <c r="E283" s="64" t="s">
        <v>148</v>
      </c>
      <c r="F283" s="161">
        <v>4</v>
      </c>
      <c r="H283" s="59"/>
      <c r="O283"/>
      <c r="P283"/>
    </row>
    <row r="284" spans="1:16" ht="14.4">
      <c r="A284" s="59"/>
      <c r="B284" s="160">
        <v>45771</v>
      </c>
      <c r="C284" s="63">
        <v>91</v>
      </c>
      <c r="D284" s="64" t="s">
        <v>141</v>
      </c>
      <c r="E284" s="64" t="s">
        <v>147</v>
      </c>
      <c r="F284" s="161">
        <v>1</v>
      </c>
      <c r="H284" s="59"/>
      <c r="O284"/>
      <c r="P284"/>
    </row>
    <row r="285" spans="1:16" ht="14.4">
      <c r="A285" s="59"/>
      <c r="B285" s="160">
        <v>45772</v>
      </c>
      <c r="C285" s="63">
        <v>84</v>
      </c>
      <c r="D285" s="64" t="s">
        <v>143</v>
      </c>
      <c r="E285" s="64" t="s">
        <v>139</v>
      </c>
      <c r="F285" s="161">
        <v>1</v>
      </c>
      <c r="H285" s="59"/>
      <c r="O285"/>
      <c r="P285"/>
    </row>
    <row r="286" spans="1:16" ht="14.4">
      <c r="A286" s="59"/>
      <c r="B286" s="160">
        <v>45772</v>
      </c>
      <c r="C286" s="63">
        <v>91</v>
      </c>
      <c r="D286" s="64" t="s">
        <v>150</v>
      </c>
      <c r="E286" s="64" t="s">
        <v>153</v>
      </c>
      <c r="F286" s="161">
        <v>2</v>
      </c>
      <c r="H286" s="59"/>
      <c r="O286"/>
      <c r="P286"/>
    </row>
    <row r="287" spans="1:16" ht="14.4">
      <c r="A287" s="59"/>
      <c r="B287" s="160">
        <v>45772</v>
      </c>
      <c r="C287" s="63">
        <v>46</v>
      </c>
      <c r="D287" s="64" t="s">
        <v>146</v>
      </c>
      <c r="E287" s="64" t="s">
        <v>144</v>
      </c>
      <c r="F287" s="161">
        <v>3</v>
      </c>
      <c r="H287" s="59"/>
      <c r="O287"/>
      <c r="P287"/>
    </row>
    <row r="288" spans="1:16" ht="14.4">
      <c r="A288" s="59"/>
      <c r="B288" s="160">
        <v>45773</v>
      </c>
      <c r="C288" s="63">
        <v>52</v>
      </c>
      <c r="D288" s="64" t="s">
        <v>138</v>
      </c>
      <c r="E288" s="64" t="s">
        <v>142</v>
      </c>
      <c r="F288" s="161">
        <v>2</v>
      </c>
      <c r="H288" s="59"/>
      <c r="O288"/>
      <c r="P288"/>
    </row>
    <row r="289" spans="1:16" ht="14.4">
      <c r="A289" s="59"/>
      <c r="B289" s="160">
        <v>45774</v>
      </c>
      <c r="C289" s="63">
        <v>87</v>
      </c>
      <c r="D289" s="64" t="s">
        <v>151</v>
      </c>
      <c r="E289" s="64" t="s">
        <v>156</v>
      </c>
      <c r="F289" s="161">
        <v>4</v>
      </c>
      <c r="H289" s="59"/>
      <c r="O289"/>
      <c r="P289"/>
    </row>
    <row r="290" spans="1:16" ht="14.4">
      <c r="A290" s="59"/>
      <c r="B290" s="160">
        <v>45774</v>
      </c>
      <c r="C290" s="63">
        <v>96</v>
      </c>
      <c r="D290" s="64" t="s">
        <v>141</v>
      </c>
      <c r="E290" s="64" t="s">
        <v>148</v>
      </c>
      <c r="F290" s="161">
        <v>3</v>
      </c>
      <c r="H290" s="59"/>
      <c r="O290"/>
      <c r="P290"/>
    </row>
    <row r="291" spans="1:16" ht="14.4">
      <c r="A291" s="59"/>
      <c r="B291" s="160">
        <v>45775</v>
      </c>
      <c r="C291" s="63">
        <v>70</v>
      </c>
      <c r="D291" s="64" t="s">
        <v>143</v>
      </c>
      <c r="E291" s="64" t="s">
        <v>147</v>
      </c>
      <c r="F291" s="161">
        <v>1</v>
      </c>
      <c r="H291" s="59"/>
      <c r="O291"/>
      <c r="P291"/>
    </row>
    <row r="292" spans="1:16" ht="14.4">
      <c r="A292" s="59"/>
      <c r="B292" s="160">
        <v>45776</v>
      </c>
      <c r="C292" s="63">
        <v>5</v>
      </c>
      <c r="D292" s="64" t="s">
        <v>150</v>
      </c>
      <c r="E292" s="64" t="s">
        <v>139</v>
      </c>
      <c r="F292" s="161">
        <v>4</v>
      </c>
      <c r="H292" s="59"/>
      <c r="O292"/>
      <c r="P292"/>
    </row>
    <row r="293" spans="1:16" ht="14.4">
      <c r="A293" s="59"/>
      <c r="B293" s="160">
        <v>45776</v>
      </c>
      <c r="C293" s="63">
        <v>67</v>
      </c>
      <c r="D293" s="64" t="s">
        <v>146</v>
      </c>
      <c r="E293" s="64" t="s">
        <v>153</v>
      </c>
      <c r="F293" s="161">
        <v>1</v>
      </c>
      <c r="H293" s="59"/>
      <c r="O293"/>
      <c r="P293"/>
    </row>
    <row r="294" spans="1:16" ht="14.4">
      <c r="A294" s="59"/>
      <c r="B294" s="160">
        <v>45778</v>
      </c>
      <c r="C294" s="63">
        <v>26</v>
      </c>
      <c r="D294" s="64" t="s">
        <v>138</v>
      </c>
      <c r="E294" s="64" t="s">
        <v>144</v>
      </c>
      <c r="F294" s="161">
        <v>3</v>
      </c>
      <c r="H294" s="59"/>
      <c r="O294"/>
      <c r="P294"/>
    </row>
    <row r="295" spans="1:16" ht="14.4">
      <c r="A295" s="59"/>
      <c r="B295" s="160">
        <v>45779</v>
      </c>
      <c r="C295" s="63">
        <v>46</v>
      </c>
      <c r="D295" s="64" t="s">
        <v>151</v>
      </c>
      <c r="E295" s="64" t="s">
        <v>142</v>
      </c>
      <c r="F295" s="161">
        <v>4</v>
      </c>
      <c r="H295" s="59"/>
      <c r="O295"/>
      <c r="P295"/>
    </row>
    <row r="296" spans="1:16" ht="14.4">
      <c r="A296" s="59"/>
      <c r="B296" s="160">
        <v>45779</v>
      </c>
      <c r="C296" s="63">
        <v>67</v>
      </c>
      <c r="D296" s="64" t="s">
        <v>141</v>
      </c>
      <c r="E296" s="64" t="s">
        <v>156</v>
      </c>
      <c r="F296" s="161">
        <v>2</v>
      </c>
      <c r="H296" s="59"/>
      <c r="O296"/>
      <c r="P296"/>
    </row>
    <row r="297" spans="1:16" ht="14.4">
      <c r="A297" s="59"/>
      <c r="B297" s="160">
        <v>45779</v>
      </c>
      <c r="C297" s="63">
        <v>32</v>
      </c>
      <c r="D297" s="64" t="s">
        <v>143</v>
      </c>
      <c r="E297" s="64" t="s">
        <v>148</v>
      </c>
      <c r="F297" s="161">
        <v>4</v>
      </c>
      <c r="H297" s="59"/>
      <c r="O297"/>
      <c r="P297"/>
    </row>
    <row r="298" spans="1:16" ht="14.4">
      <c r="A298" s="59"/>
      <c r="B298" s="160">
        <v>45780</v>
      </c>
      <c r="C298" s="63">
        <v>97</v>
      </c>
      <c r="D298" s="64" t="s">
        <v>150</v>
      </c>
      <c r="E298" s="64" t="s">
        <v>147</v>
      </c>
      <c r="F298" s="161">
        <v>3</v>
      </c>
      <c r="H298" s="59"/>
      <c r="O298"/>
      <c r="P298"/>
    </row>
    <row r="299" spans="1:16" ht="14.4">
      <c r="A299" s="59"/>
      <c r="B299" s="160">
        <v>45780</v>
      </c>
      <c r="C299" s="63">
        <v>57</v>
      </c>
      <c r="D299" s="64" t="s">
        <v>146</v>
      </c>
      <c r="E299" s="64" t="s">
        <v>139</v>
      </c>
      <c r="F299" s="161">
        <v>2</v>
      </c>
      <c r="H299" s="59"/>
      <c r="O299"/>
      <c r="P299"/>
    </row>
    <row r="300" spans="1:16" ht="14.4">
      <c r="A300" s="59"/>
      <c r="B300" s="160">
        <v>45780</v>
      </c>
      <c r="C300" s="63">
        <v>58</v>
      </c>
      <c r="D300" s="64" t="s">
        <v>138</v>
      </c>
      <c r="E300" s="64" t="s">
        <v>153</v>
      </c>
      <c r="F300" s="161">
        <v>3</v>
      </c>
      <c r="H300" s="59"/>
      <c r="O300"/>
      <c r="P300"/>
    </row>
    <row r="301" spans="1:16" ht="14.4">
      <c r="A301" s="59"/>
      <c r="B301" s="160">
        <v>45780</v>
      </c>
      <c r="C301" s="63">
        <v>29</v>
      </c>
      <c r="D301" s="64" t="s">
        <v>151</v>
      </c>
      <c r="E301" s="64" t="s">
        <v>144</v>
      </c>
      <c r="F301" s="161">
        <v>2</v>
      </c>
      <c r="H301" s="59"/>
      <c r="O301"/>
      <c r="P301"/>
    </row>
    <row r="302" spans="1:16" ht="14.4">
      <c r="A302" s="59"/>
      <c r="B302" s="160">
        <v>45781</v>
      </c>
      <c r="C302" s="63">
        <v>37</v>
      </c>
      <c r="D302" s="64" t="s">
        <v>141</v>
      </c>
      <c r="E302" s="64" t="s">
        <v>142</v>
      </c>
      <c r="F302" s="161">
        <v>1</v>
      </c>
      <c r="H302" s="59"/>
      <c r="O302"/>
      <c r="P302"/>
    </row>
    <row r="303" spans="1:16" ht="14.4">
      <c r="A303" s="59"/>
      <c r="B303" s="160">
        <v>45781</v>
      </c>
      <c r="C303" s="63">
        <v>8</v>
      </c>
      <c r="D303" s="64" t="s">
        <v>143</v>
      </c>
      <c r="E303" s="64" t="s">
        <v>156</v>
      </c>
      <c r="F303" s="161">
        <v>2</v>
      </c>
      <c r="H303" s="59"/>
      <c r="O303"/>
      <c r="P303"/>
    </row>
    <row r="304" spans="1:16" ht="14.4">
      <c r="A304" s="59"/>
      <c r="B304" s="160">
        <v>45782</v>
      </c>
      <c r="C304" s="63">
        <v>28</v>
      </c>
      <c r="D304" s="64" t="s">
        <v>150</v>
      </c>
      <c r="E304" s="64" t="s">
        <v>148</v>
      </c>
      <c r="F304" s="161">
        <v>3</v>
      </c>
      <c r="H304" s="59"/>
      <c r="O304"/>
      <c r="P304"/>
    </row>
    <row r="305" spans="1:16" ht="14.4">
      <c r="A305" s="59"/>
      <c r="B305" s="160">
        <v>45783</v>
      </c>
      <c r="C305" s="63">
        <v>36</v>
      </c>
      <c r="D305" s="64" t="s">
        <v>146</v>
      </c>
      <c r="E305" s="64" t="s">
        <v>147</v>
      </c>
      <c r="F305" s="161">
        <v>3</v>
      </c>
      <c r="H305" s="59"/>
      <c r="O305"/>
      <c r="P305"/>
    </row>
    <row r="306" spans="1:16" ht="14.4">
      <c r="A306" s="59"/>
      <c r="B306" s="160">
        <v>45786</v>
      </c>
      <c r="C306" s="63">
        <v>72</v>
      </c>
      <c r="D306" s="64" t="s">
        <v>138</v>
      </c>
      <c r="E306" s="64" t="s">
        <v>139</v>
      </c>
      <c r="F306" s="161">
        <v>2</v>
      </c>
      <c r="H306" s="59"/>
      <c r="O306"/>
      <c r="P306"/>
    </row>
    <row r="307" spans="1:16" ht="14.4">
      <c r="A307" s="59"/>
      <c r="B307" s="160">
        <v>45787</v>
      </c>
      <c r="C307" s="63">
        <v>47</v>
      </c>
      <c r="D307" s="64" t="s">
        <v>151</v>
      </c>
      <c r="E307" s="64" t="s">
        <v>153</v>
      </c>
      <c r="F307" s="161">
        <v>2</v>
      </c>
      <c r="H307" s="59"/>
      <c r="O307"/>
      <c r="P307"/>
    </row>
    <row r="308" spans="1:16" ht="14.4">
      <c r="A308" s="59"/>
      <c r="B308" s="160">
        <v>45787</v>
      </c>
      <c r="C308" s="63">
        <v>21</v>
      </c>
      <c r="D308" s="64" t="s">
        <v>141</v>
      </c>
      <c r="E308" s="64" t="s">
        <v>144</v>
      </c>
      <c r="F308" s="161">
        <v>3</v>
      </c>
      <c r="H308" s="59"/>
      <c r="O308"/>
      <c r="P308"/>
    </row>
    <row r="309" spans="1:16" ht="14.4">
      <c r="A309" s="59"/>
      <c r="B309" s="160">
        <v>45791</v>
      </c>
      <c r="C309" s="63">
        <v>28</v>
      </c>
      <c r="D309" s="64" t="s">
        <v>143</v>
      </c>
      <c r="E309" s="64" t="s">
        <v>142</v>
      </c>
      <c r="F309" s="161">
        <v>4</v>
      </c>
      <c r="H309" s="59"/>
      <c r="O309"/>
      <c r="P309"/>
    </row>
    <row r="310" spans="1:16" ht="14.4">
      <c r="A310" s="59"/>
      <c r="B310" s="160">
        <v>45791</v>
      </c>
      <c r="C310" s="63">
        <v>6</v>
      </c>
      <c r="D310" s="64" t="s">
        <v>150</v>
      </c>
      <c r="E310" s="64" t="s">
        <v>156</v>
      </c>
      <c r="F310" s="161">
        <v>1</v>
      </c>
      <c r="H310" s="59"/>
      <c r="O310"/>
      <c r="P310"/>
    </row>
    <row r="311" spans="1:16" ht="14.4">
      <c r="A311" s="59"/>
      <c r="B311" s="160">
        <v>45791</v>
      </c>
      <c r="C311" s="63">
        <v>27</v>
      </c>
      <c r="D311" s="64" t="s">
        <v>146</v>
      </c>
      <c r="E311" s="64" t="s">
        <v>148</v>
      </c>
      <c r="F311" s="161">
        <v>1</v>
      </c>
      <c r="H311" s="59"/>
      <c r="O311"/>
      <c r="P311"/>
    </row>
    <row r="312" spans="1:16" ht="14.4">
      <c r="A312" s="59"/>
      <c r="B312" s="160">
        <v>45792</v>
      </c>
      <c r="C312" s="63">
        <v>34</v>
      </c>
      <c r="D312" s="64" t="s">
        <v>138</v>
      </c>
      <c r="E312" s="64" t="s">
        <v>147</v>
      </c>
      <c r="F312" s="161">
        <v>1</v>
      </c>
      <c r="H312" s="59"/>
      <c r="O312"/>
      <c r="P312"/>
    </row>
    <row r="313" spans="1:16" ht="14.4">
      <c r="A313" s="59"/>
      <c r="B313" s="160">
        <v>45792</v>
      </c>
      <c r="C313" s="63">
        <v>95</v>
      </c>
      <c r="D313" s="64" t="s">
        <v>151</v>
      </c>
      <c r="E313" s="64" t="s">
        <v>139</v>
      </c>
      <c r="F313" s="161">
        <v>3</v>
      </c>
      <c r="H313" s="59"/>
      <c r="O313"/>
      <c r="P313"/>
    </row>
    <row r="314" spans="1:16" ht="14.4">
      <c r="A314" s="59"/>
      <c r="B314" s="160">
        <v>45792</v>
      </c>
      <c r="C314" s="63">
        <v>49</v>
      </c>
      <c r="D314" s="64" t="s">
        <v>141</v>
      </c>
      <c r="E314" s="64" t="s">
        <v>153</v>
      </c>
      <c r="F314" s="161">
        <v>4</v>
      </c>
      <c r="H314" s="59"/>
      <c r="O314"/>
      <c r="P314"/>
    </row>
    <row r="315" spans="1:16" ht="14.4">
      <c r="A315" s="59"/>
      <c r="B315" s="160">
        <v>45794</v>
      </c>
      <c r="C315" s="63">
        <v>79</v>
      </c>
      <c r="D315" s="64" t="s">
        <v>143</v>
      </c>
      <c r="E315" s="64" t="s">
        <v>144</v>
      </c>
      <c r="F315" s="161">
        <v>4</v>
      </c>
      <c r="H315" s="59"/>
      <c r="O315"/>
      <c r="P315"/>
    </row>
    <row r="316" spans="1:16" ht="14.4">
      <c r="A316" s="59"/>
      <c r="B316" s="160">
        <v>45795</v>
      </c>
      <c r="C316" s="63">
        <v>12</v>
      </c>
      <c r="D316" s="64" t="s">
        <v>150</v>
      </c>
      <c r="E316" s="64" t="s">
        <v>142</v>
      </c>
      <c r="F316" s="161">
        <v>2</v>
      </c>
      <c r="H316" s="59"/>
      <c r="O316"/>
      <c r="P316"/>
    </row>
    <row r="317" spans="1:16" ht="14.4">
      <c r="A317" s="59"/>
      <c r="B317" s="160">
        <v>45797</v>
      </c>
      <c r="C317" s="63">
        <v>45</v>
      </c>
      <c r="D317" s="64" t="s">
        <v>146</v>
      </c>
      <c r="E317" s="64" t="s">
        <v>156</v>
      </c>
      <c r="F317" s="161">
        <v>4</v>
      </c>
      <c r="H317" s="59"/>
      <c r="O317"/>
      <c r="P317"/>
    </row>
    <row r="318" spans="1:16" ht="14.4">
      <c r="A318" s="59"/>
      <c r="B318" s="160">
        <v>45797</v>
      </c>
      <c r="C318" s="63">
        <v>33</v>
      </c>
      <c r="D318" s="64" t="s">
        <v>138</v>
      </c>
      <c r="E318" s="64" t="s">
        <v>148</v>
      </c>
      <c r="F318" s="161">
        <v>4</v>
      </c>
      <c r="H318" s="59"/>
      <c r="O318"/>
      <c r="P318"/>
    </row>
    <row r="319" spans="1:16" ht="14.4">
      <c r="A319" s="59"/>
      <c r="B319" s="160">
        <v>45800</v>
      </c>
      <c r="C319" s="63">
        <v>91</v>
      </c>
      <c r="D319" s="64" t="s">
        <v>151</v>
      </c>
      <c r="E319" s="64" t="s">
        <v>147</v>
      </c>
      <c r="F319" s="161">
        <v>2</v>
      </c>
      <c r="H319" s="59"/>
      <c r="O319"/>
      <c r="P319"/>
    </row>
    <row r="320" spans="1:16" ht="14.4">
      <c r="A320" s="59"/>
      <c r="B320" s="160">
        <v>45800</v>
      </c>
      <c r="C320" s="63">
        <v>84</v>
      </c>
      <c r="D320" s="64" t="s">
        <v>141</v>
      </c>
      <c r="E320" s="64" t="s">
        <v>139</v>
      </c>
      <c r="F320" s="161">
        <v>2</v>
      </c>
      <c r="H320" s="59"/>
      <c r="O320"/>
      <c r="P320"/>
    </row>
    <row r="321" spans="1:16" ht="14.4">
      <c r="A321" s="59"/>
      <c r="B321" s="160">
        <v>45802</v>
      </c>
      <c r="C321" s="63">
        <v>69</v>
      </c>
      <c r="D321" s="64" t="s">
        <v>143</v>
      </c>
      <c r="E321" s="64" t="s">
        <v>153</v>
      </c>
      <c r="F321" s="161">
        <v>3</v>
      </c>
      <c r="H321" s="59"/>
      <c r="O321"/>
      <c r="P321"/>
    </row>
    <row r="322" spans="1:16" ht="14.4">
      <c r="A322" s="59"/>
      <c r="B322" s="160">
        <v>45804</v>
      </c>
      <c r="C322" s="63">
        <v>97</v>
      </c>
      <c r="D322" s="64" t="s">
        <v>150</v>
      </c>
      <c r="E322" s="64" t="s">
        <v>144</v>
      </c>
      <c r="F322" s="161">
        <v>2</v>
      </c>
      <c r="H322" s="59"/>
      <c r="O322"/>
      <c r="P322"/>
    </row>
    <row r="323" spans="1:16" ht="14.4">
      <c r="A323" s="59"/>
      <c r="B323" s="160">
        <v>45805</v>
      </c>
      <c r="C323" s="63">
        <v>84</v>
      </c>
      <c r="D323" s="64" t="s">
        <v>146</v>
      </c>
      <c r="E323" s="64" t="s">
        <v>142</v>
      </c>
      <c r="F323" s="161">
        <v>4</v>
      </c>
      <c r="H323" s="59"/>
      <c r="O323"/>
      <c r="P323"/>
    </row>
    <row r="324" spans="1:16" ht="14.4">
      <c r="A324" s="59"/>
      <c r="B324" s="160">
        <v>45805</v>
      </c>
      <c r="C324" s="63">
        <v>97</v>
      </c>
      <c r="D324" s="64" t="s">
        <v>138</v>
      </c>
      <c r="E324" s="64" t="s">
        <v>156</v>
      </c>
      <c r="F324" s="161">
        <v>3</v>
      </c>
      <c r="H324" s="59"/>
      <c r="O324"/>
      <c r="P324"/>
    </row>
    <row r="325" spans="1:16" ht="14.4">
      <c r="A325" s="59"/>
      <c r="B325" s="160">
        <v>45805</v>
      </c>
      <c r="C325" s="63">
        <v>16</v>
      </c>
      <c r="D325" s="64" t="s">
        <v>151</v>
      </c>
      <c r="E325" s="64" t="s">
        <v>148</v>
      </c>
      <c r="F325" s="161">
        <v>4</v>
      </c>
      <c r="H325" s="59"/>
      <c r="O325"/>
      <c r="P325"/>
    </row>
    <row r="326" spans="1:16" ht="14.4">
      <c r="A326" s="59"/>
      <c r="B326" s="160">
        <v>45806</v>
      </c>
      <c r="C326" s="63">
        <v>10</v>
      </c>
      <c r="D326" s="64" t="s">
        <v>141</v>
      </c>
      <c r="E326" s="64" t="s">
        <v>147</v>
      </c>
      <c r="F326" s="161">
        <v>2</v>
      </c>
      <c r="H326" s="59"/>
      <c r="O326"/>
      <c r="P326"/>
    </row>
    <row r="327" spans="1:16" ht="14.4">
      <c r="A327" s="59"/>
      <c r="B327" s="160">
        <v>45806</v>
      </c>
      <c r="C327" s="63">
        <v>62</v>
      </c>
      <c r="D327" s="64" t="s">
        <v>143</v>
      </c>
      <c r="E327" s="64" t="s">
        <v>139</v>
      </c>
      <c r="F327" s="161">
        <v>1</v>
      </c>
      <c r="H327" s="59"/>
      <c r="O327"/>
      <c r="P327"/>
    </row>
    <row r="328" spans="1:16" ht="14.4">
      <c r="A328" s="59"/>
      <c r="B328" s="160">
        <v>45806</v>
      </c>
      <c r="C328" s="63">
        <v>15</v>
      </c>
      <c r="D328" s="64" t="s">
        <v>150</v>
      </c>
      <c r="E328" s="64" t="s">
        <v>153</v>
      </c>
      <c r="F328" s="161">
        <v>3</v>
      </c>
      <c r="H328" s="59"/>
      <c r="O328"/>
      <c r="P328"/>
    </row>
    <row r="329" spans="1:16" ht="14.4">
      <c r="A329" s="59"/>
      <c r="B329" s="160">
        <v>45807</v>
      </c>
      <c r="C329" s="63">
        <v>86</v>
      </c>
      <c r="D329" s="64" t="s">
        <v>146</v>
      </c>
      <c r="E329" s="64" t="s">
        <v>144</v>
      </c>
      <c r="F329" s="161">
        <v>4</v>
      </c>
      <c r="H329" s="59"/>
      <c r="O329"/>
      <c r="P329"/>
    </row>
    <row r="330" spans="1:16" ht="14.4">
      <c r="A330" s="59"/>
      <c r="B330" s="160">
        <v>45807</v>
      </c>
      <c r="C330" s="63">
        <v>2</v>
      </c>
      <c r="D330" s="64" t="s">
        <v>138</v>
      </c>
      <c r="E330" s="64" t="s">
        <v>142</v>
      </c>
      <c r="F330" s="161">
        <v>3</v>
      </c>
      <c r="H330" s="59"/>
      <c r="O330"/>
      <c r="P330"/>
    </row>
    <row r="331" spans="1:16" ht="14.4">
      <c r="A331" s="59"/>
      <c r="B331" s="160">
        <v>45808</v>
      </c>
      <c r="C331" s="63">
        <v>2</v>
      </c>
      <c r="D331" s="64" t="s">
        <v>151</v>
      </c>
      <c r="E331" s="64" t="s">
        <v>156</v>
      </c>
      <c r="F331" s="161">
        <v>4</v>
      </c>
      <c r="H331" s="59"/>
      <c r="O331"/>
      <c r="P331"/>
    </row>
    <row r="332" spans="1:16" ht="14.4">
      <c r="A332" s="59"/>
      <c r="B332" s="160">
        <v>45809</v>
      </c>
      <c r="C332" s="63">
        <v>10</v>
      </c>
      <c r="D332" s="64" t="s">
        <v>141</v>
      </c>
      <c r="E332" s="64" t="s">
        <v>148</v>
      </c>
      <c r="F332" s="161">
        <v>4</v>
      </c>
      <c r="H332" s="59"/>
      <c r="O332"/>
      <c r="P332"/>
    </row>
    <row r="333" spans="1:16" ht="14.4">
      <c r="A333" s="59"/>
      <c r="B333" s="160">
        <v>45810</v>
      </c>
      <c r="C333" s="63">
        <v>4</v>
      </c>
      <c r="D333" s="64" t="s">
        <v>143</v>
      </c>
      <c r="E333" s="64" t="s">
        <v>147</v>
      </c>
      <c r="F333" s="161">
        <v>1</v>
      </c>
      <c r="H333" s="59"/>
      <c r="O333"/>
      <c r="P333"/>
    </row>
    <row r="334" spans="1:16" ht="14.4">
      <c r="A334" s="59"/>
      <c r="B334" s="160">
        <v>45811</v>
      </c>
      <c r="C334" s="63">
        <v>29</v>
      </c>
      <c r="D334" s="64" t="s">
        <v>150</v>
      </c>
      <c r="E334" s="64" t="s">
        <v>139</v>
      </c>
      <c r="F334" s="161">
        <v>3</v>
      </c>
      <c r="H334" s="59"/>
      <c r="O334"/>
      <c r="P334"/>
    </row>
    <row r="335" spans="1:16" ht="14.4">
      <c r="A335" s="59"/>
      <c r="B335" s="160">
        <v>45811</v>
      </c>
      <c r="C335" s="63">
        <v>39</v>
      </c>
      <c r="D335" s="64" t="s">
        <v>146</v>
      </c>
      <c r="E335" s="64" t="s">
        <v>153</v>
      </c>
      <c r="F335" s="161">
        <v>1</v>
      </c>
      <c r="H335" s="59"/>
      <c r="O335"/>
      <c r="P335"/>
    </row>
    <row r="336" spans="1:16" ht="14.4">
      <c r="A336" s="59"/>
      <c r="B336" s="160">
        <v>45814</v>
      </c>
      <c r="C336" s="63">
        <v>6</v>
      </c>
      <c r="D336" s="64" t="s">
        <v>138</v>
      </c>
      <c r="E336" s="64" t="s">
        <v>144</v>
      </c>
      <c r="F336" s="161">
        <v>3</v>
      </c>
      <c r="H336" s="59"/>
      <c r="O336"/>
      <c r="P336"/>
    </row>
    <row r="337" spans="1:16" ht="14.4">
      <c r="A337" s="59"/>
      <c r="B337" s="160">
        <v>45815</v>
      </c>
      <c r="C337" s="63">
        <v>32</v>
      </c>
      <c r="D337" s="64" t="s">
        <v>151</v>
      </c>
      <c r="E337" s="64" t="s">
        <v>142</v>
      </c>
      <c r="F337" s="161">
        <v>1</v>
      </c>
      <c r="H337" s="59"/>
      <c r="O337"/>
      <c r="P337"/>
    </row>
    <row r="338" spans="1:16" ht="14.4">
      <c r="A338" s="59"/>
      <c r="B338" s="160">
        <v>45816</v>
      </c>
      <c r="C338" s="63">
        <v>33</v>
      </c>
      <c r="D338" s="64" t="s">
        <v>141</v>
      </c>
      <c r="E338" s="64" t="s">
        <v>156</v>
      </c>
      <c r="F338" s="161">
        <v>2</v>
      </c>
      <c r="H338" s="59"/>
      <c r="O338"/>
      <c r="P338"/>
    </row>
    <row r="339" spans="1:16" ht="14.4">
      <c r="A339" s="59"/>
      <c r="B339" s="160">
        <v>45817</v>
      </c>
      <c r="C339" s="63">
        <v>50</v>
      </c>
      <c r="D339" s="64" t="s">
        <v>143</v>
      </c>
      <c r="E339" s="64" t="s">
        <v>148</v>
      </c>
      <c r="F339" s="161">
        <v>2</v>
      </c>
      <c r="H339" s="59"/>
      <c r="O339"/>
      <c r="P339"/>
    </row>
    <row r="340" spans="1:16" ht="14.4">
      <c r="A340" s="59"/>
      <c r="B340" s="160">
        <v>45817</v>
      </c>
      <c r="C340" s="63">
        <v>43</v>
      </c>
      <c r="D340" s="64" t="s">
        <v>150</v>
      </c>
      <c r="E340" s="64" t="s">
        <v>147</v>
      </c>
      <c r="F340" s="161">
        <v>4</v>
      </c>
      <c r="H340" s="59"/>
      <c r="O340"/>
      <c r="P340"/>
    </row>
    <row r="341" spans="1:16" ht="14.4">
      <c r="A341" s="59"/>
      <c r="B341" s="160">
        <v>45817</v>
      </c>
      <c r="C341" s="63">
        <v>15</v>
      </c>
      <c r="D341" s="64" t="s">
        <v>146</v>
      </c>
      <c r="E341" s="64" t="s">
        <v>139</v>
      </c>
      <c r="F341" s="161">
        <v>2</v>
      </c>
      <c r="H341" s="59"/>
      <c r="O341"/>
      <c r="P341"/>
    </row>
    <row r="342" spans="1:16" ht="14.4">
      <c r="A342" s="59"/>
      <c r="B342" s="160">
        <v>45819</v>
      </c>
      <c r="C342" s="63">
        <v>2</v>
      </c>
      <c r="D342" s="64" t="s">
        <v>138</v>
      </c>
      <c r="E342" s="64" t="s">
        <v>153</v>
      </c>
      <c r="F342" s="161">
        <v>3</v>
      </c>
      <c r="H342" s="59"/>
      <c r="O342"/>
      <c r="P342"/>
    </row>
    <row r="343" spans="1:16" ht="14.4">
      <c r="A343" s="59"/>
      <c r="B343" s="160">
        <v>45820</v>
      </c>
      <c r="C343" s="63">
        <v>20</v>
      </c>
      <c r="D343" s="64" t="s">
        <v>151</v>
      </c>
      <c r="E343" s="64" t="s">
        <v>144</v>
      </c>
      <c r="F343" s="161">
        <v>2</v>
      </c>
      <c r="H343" s="59"/>
      <c r="O343"/>
      <c r="P343"/>
    </row>
    <row r="344" spans="1:16" ht="14.4">
      <c r="A344" s="59"/>
      <c r="B344" s="160">
        <v>45820</v>
      </c>
      <c r="C344" s="63">
        <v>6</v>
      </c>
      <c r="D344" s="64" t="s">
        <v>141</v>
      </c>
      <c r="E344" s="64" t="s">
        <v>142</v>
      </c>
      <c r="F344" s="161">
        <v>3</v>
      </c>
      <c r="H344" s="59"/>
      <c r="O344"/>
      <c r="P344"/>
    </row>
    <row r="345" spans="1:16" ht="14.4">
      <c r="A345" s="59"/>
      <c r="B345" s="160">
        <v>45820</v>
      </c>
      <c r="C345" s="63">
        <v>68</v>
      </c>
      <c r="D345" s="64" t="s">
        <v>143</v>
      </c>
      <c r="E345" s="64" t="s">
        <v>156</v>
      </c>
      <c r="F345" s="161">
        <v>1</v>
      </c>
      <c r="H345" s="59"/>
      <c r="O345"/>
      <c r="P345"/>
    </row>
    <row r="346" spans="1:16" ht="14.4">
      <c r="A346" s="59"/>
      <c r="B346" s="160">
        <v>45820</v>
      </c>
      <c r="C346" s="63">
        <v>95</v>
      </c>
      <c r="D346" s="64" t="s">
        <v>150</v>
      </c>
      <c r="E346" s="64" t="s">
        <v>148</v>
      </c>
      <c r="F346" s="161">
        <v>3</v>
      </c>
      <c r="H346" s="59"/>
      <c r="O346"/>
      <c r="P346"/>
    </row>
    <row r="347" spans="1:16" ht="14.4">
      <c r="A347" s="59"/>
      <c r="B347" s="160">
        <v>45821</v>
      </c>
      <c r="C347" s="63">
        <v>24</v>
      </c>
      <c r="D347" s="64" t="s">
        <v>146</v>
      </c>
      <c r="E347" s="64" t="s">
        <v>147</v>
      </c>
      <c r="F347" s="161">
        <v>2</v>
      </c>
      <c r="H347" s="59"/>
      <c r="O347"/>
      <c r="P347"/>
    </row>
    <row r="348" spans="1:16" ht="14.4">
      <c r="A348" s="59"/>
      <c r="B348" s="160">
        <v>45821</v>
      </c>
      <c r="C348" s="63">
        <v>71</v>
      </c>
      <c r="D348" s="64" t="s">
        <v>138</v>
      </c>
      <c r="E348" s="64" t="s">
        <v>139</v>
      </c>
      <c r="F348" s="161">
        <v>4</v>
      </c>
      <c r="H348" s="59"/>
      <c r="O348"/>
      <c r="P348"/>
    </row>
    <row r="349" spans="1:16" ht="14.4">
      <c r="A349" s="59"/>
      <c r="B349" s="160">
        <v>45822</v>
      </c>
      <c r="C349" s="63">
        <v>81</v>
      </c>
      <c r="D349" s="64" t="s">
        <v>151</v>
      </c>
      <c r="E349" s="64" t="s">
        <v>153</v>
      </c>
      <c r="F349" s="161">
        <v>4</v>
      </c>
      <c r="H349" s="59"/>
      <c r="O349"/>
      <c r="P349"/>
    </row>
    <row r="350" spans="1:16" ht="14.4">
      <c r="A350" s="59"/>
      <c r="B350" s="160">
        <v>45825</v>
      </c>
      <c r="C350" s="63">
        <v>89</v>
      </c>
      <c r="D350" s="64" t="s">
        <v>141</v>
      </c>
      <c r="E350" s="64" t="s">
        <v>144</v>
      </c>
      <c r="F350" s="161">
        <v>3</v>
      </c>
      <c r="H350" s="59"/>
      <c r="O350"/>
      <c r="P350"/>
    </row>
    <row r="351" spans="1:16" ht="14.4">
      <c r="A351" s="59"/>
      <c r="B351" s="160">
        <v>45826</v>
      </c>
      <c r="C351" s="63">
        <v>43</v>
      </c>
      <c r="D351" s="64" t="s">
        <v>143</v>
      </c>
      <c r="E351" s="64" t="s">
        <v>142</v>
      </c>
      <c r="F351" s="161">
        <v>3</v>
      </c>
      <c r="H351" s="59"/>
      <c r="O351"/>
      <c r="P351"/>
    </row>
    <row r="352" spans="1:16" ht="14.4">
      <c r="A352" s="59"/>
      <c r="B352" s="160">
        <v>45826</v>
      </c>
      <c r="C352" s="63">
        <v>49</v>
      </c>
      <c r="D352" s="64" t="s">
        <v>150</v>
      </c>
      <c r="E352" s="64" t="s">
        <v>156</v>
      </c>
      <c r="F352" s="161">
        <v>4</v>
      </c>
      <c r="H352" s="59"/>
      <c r="O352"/>
      <c r="P352"/>
    </row>
    <row r="353" spans="1:16" ht="14.4">
      <c r="A353" s="59"/>
      <c r="B353" s="160">
        <v>45827</v>
      </c>
      <c r="C353" s="63">
        <v>94</v>
      </c>
      <c r="D353" s="64" t="s">
        <v>146</v>
      </c>
      <c r="E353" s="64" t="s">
        <v>148</v>
      </c>
      <c r="F353" s="161">
        <v>2</v>
      </c>
      <c r="H353" s="59"/>
      <c r="O353"/>
      <c r="P353"/>
    </row>
    <row r="354" spans="1:16" ht="14.4">
      <c r="A354" s="59"/>
      <c r="B354" s="160">
        <v>45828</v>
      </c>
      <c r="C354" s="63">
        <v>49</v>
      </c>
      <c r="D354" s="64" t="s">
        <v>138</v>
      </c>
      <c r="E354" s="64" t="s">
        <v>147</v>
      </c>
      <c r="F354" s="161">
        <v>3</v>
      </c>
      <c r="H354" s="59"/>
      <c r="O354"/>
      <c r="P354"/>
    </row>
    <row r="355" spans="1:16" ht="14.4">
      <c r="A355" s="59"/>
      <c r="B355" s="160">
        <v>45829</v>
      </c>
      <c r="C355" s="63">
        <v>97</v>
      </c>
      <c r="D355" s="64" t="s">
        <v>151</v>
      </c>
      <c r="E355" s="64" t="s">
        <v>139</v>
      </c>
      <c r="F355" s="161">
        <v>4</v>
      </c>
      <c r="H355" s="59"/>
      <c r="O355"/>
      <c r="P355"/>
    </row>
    <row r="356" spans="1:16" ht="14.4">
      <c r="A356" s="59"/>
      <c r="B356" s="160">
        <v>45830</v>
      </c>
      <c r="C356" s="63">
        <v>33</v>
      </c>
      <c r="D356" s="64" t="s">
        <v>141</v>
      </c>
      <c r="E356" s="64" t="s">
        <v>153</v>
      </c>
      <c r="F356" s="161">
        <v>3</v>
      </c>
      <c r="H356" s="59"/>
      <c r="O356"/>
      <c r="P356"/>
    </row>
    <row r="357" spans="1:16" ht="14.4">
      <c r="A357" s="59"/>
      <c r="B357" s="160">
        <v>45830</v>
      </c>
      <c r="C357" s="63">
        <v>85</v>
      </c>
      <c r="D357" s="64" t="s">
        <v>143</v>
      </c>
      <c r="E357" s="64" t="s">
        <v>144</v>
      </c>
      <c r="F357" s="161">
        <v>1</v>
      </c>
      <c r="H357" s="59"/>
      <c r="O357"/>
      <c r="P357"/>
    </row>
    <row r="358" spans="1:16" ht="14.4">
      <c r="A358" s="59"/>
      <c r="B358" s="160">
        <v>45831</v>
      </c>
      <c r="C358" s="63">
        <v>24</v>
      </c>
      <c r="D358" s="64" t="s">
        <v>150</v>
      </c>
      <c r="E358" s="64" t="s">
        <v>142</v>
      </c>
      <c r="F358" s="161">
        <v>1</v>
      </c>
      <c r="H358" s="59"/>
      <c r="O358"/>
      <c r="P358"/>
    </row>
    <row r="359" spans="1:16" ht="14.4">
      <c r="A359" s="59"/>
      <c r="B359" s="160">
        <v>45831</v>
      </c>
      <c r="C359" s="63">
        <v>30</v>
      </c>
      <c r="D359" s="64" t="s">
        <v>146</v>
      </c>
      <c r="E359" s="64" t="s">
        <v>156</v>
      </c>
      <c r="F359" s="161">
        <v>1</v>
      </c>
      <c r="H359" s="59"/>
      <c r="O359"/>
      <c r="P359"/>
    </row>
    <row r="360" spans="1:16" ht="14.4">
      <c r="A360" s="59"/>
      <c r="B360" s="160">
        <v>45832</v>
      </c>
      <c r="C360" s="63">
        <v>31</v>
      </c>
      <c r="D360" s="64" t="s">
        <v>138</v>
      </c>
      <c r="E360" s="64" t="s">
        <v>148</v>
      </c>
      <c r="F360" s="161">
        <v>2</v>
      </c>
      <c r="H360" s="59"/>
      <c r="O360"/>
      <c r="P360"/>
    </row>
    <row r="361" spans="1:16" ht="14.4">
      <c r="A361" s="59"/>
      <c r="B361" s="160">
        <v>45832</v>
      </c>
      <c r="C361" s="63">
        <v>100</v>
      </c>
      <c r="D361" s="64" t="s">
        <v>151</v>
      </c>
      <c r="E361" s="64" t="s">
        <v>147</v>
      </c>
      <c r="F361" s="161">
        <v>1</v>
      </c>
      <c r="H361" s="59"/>
      <c r="O361"/>
      <c r="P361"/>
    </row>
    <row r="362" spans="1:16" ht="14.4">
      <c r="A362" s="59"/>
      <c r="B362" s="160">
        <v>45833</v>
      </c>
      <c r="C362" s="63">
        <v>79</v>
      </c>
      <c r="D362" s="64" t="s">
        <v>141</v>
      </c>
      <c r="E362" s="64" t="s">
        <v>139</v>
      </c>
      <c r="F362" s="161">
        <v>1</v>
      </c>
      <c r="H362" s="59"/>
      <c r="O362"/>
      <c r="P362"/>
    </row>
    <row r="363" spans="1:16" ht="14.4">
      <c r="A363" s="59"/>
      <c r="B363" s="160">
        <v>45834</v>
      </c>
      <c r="C363" s="63">
        <v>18</v>
      </c>
      <c r="D363" s="64" t="s">
        <v>143</v>
      </c>
      <c r="E363" s="64" t="s">
        <v>153</v>
      </c>
      <c r="F363" s="161">
        <v>1</v>
      </c>
      <c r="H363" s="59"/>
      <c r="O363"/>
      <c r="P363"/>
    </row>
    <row r="364" spans="1:16" ht="14.4">
      <c r="A364" s="59"/>
      <c r="B364" s="160">
        <v>45835</v>
      </c>
      <c r="C364" s="63">
        <v>68</v>
      </c>
      <c r="D364" s="64" t="s">
        <v>150</v>
      </c>
      <c r="E364" s="64" t="s">
        <v>144</v>
      </c>
      <c r="F364" s="161">
        <v>4</v>
      </c>
      <c r="H364" s="59"/>
      <c r="O364"/>
      <c r="P364"/>
    </row>
    <row r="365" spans="1:16" ht="14.4">
      <c r="A365" s="59"/>
      <c r="B365" s="160">
        <v>45836</v>
      </c>
      <c r="C365" s="63">
        <v>1</v>
      </c>
      <c r="D365" s="64" t="s">
        <v>146</v>
      </c>
      <c r="E365" s="64" t="s">
        <v>142</v>
      </c>
      <c r="F365" s="161">
        <v>2</v>
      </c>
      <c r="H365" s="59"/>
      <c r="O365"/>
      <c r="P365"/>
    </row>
    <row r="366" spans="1:16" ht="14.4">
      <c r="A366" s="59"/>
      <c r="B366" s="160">
        <v>45836</v>
      </c>
      <c r="C366" s="63">
        <v>44</v>
      </c>
      <c r="D366" s="64" t="s">
        <v>138</v>
      </c>
      <c r="E366" s="64" t="s">
        <v>156</v>
      </c>
      <c r="F366" s="161">
        <v>1</v>
      </c>
      <c r="H366" s="59"/>
      <c r="O366"/>
      <c r="P366"/>
    </row>
    <row r="367" spans="1:16" ht="14.4">
      <c r="A367" s="59"/>
      <c r="B367" s="160">
        <v>45836</v>
      </c>
      <c r="C367" s="63">
        <v>53</v>
      </c>
      <c r="D367" s="64" t="s">
        <v>151</v>
      </c>
      <c r="E367" s="64" t="s">
        <v>148</v>
      </c>
      <c r="F367" s="161">
        <v>1</v>
      </c>
      <c r="H367" s="59"/>
      <c r="O367"/>
      <c r="P367"/>
    </row>
    <row r="368" spans="1:16" ht="14.4">
      <c r="A368" s="59"/>
      <c r="B368" s="160">
        <v>45837</v>
      </c>
      <c r="C368" s="63">
        <v>2</v>
      </c>
      <c r="D368" s="64" t="s">
        <v>141</v>
      </c>
      <c r="E368" s="64" t="s">
        <v>147</v>
      </c>
      <c r="F368" s="161">
        <v>1</v>
      </c>
      <c r="H368" s="59"/>
      <c r="O368"/>
      <c r="P368"/>
    </row>
    <row r="369" spans="1:16" ht="14.4">
      <c r="A369" s="59"/>
      <c r="B369" s="160">
        <v>45837</v>
      </c>
      <c r="C369" s="63">
        <v>11</v>
      </c>
      <c r="D369" s="64" t="s">
        <v>143</v>
      </c>
      <c r="E369" s="64" t="s">
        <v>139</v>
      </c>
      <c r="F369" s="161">
        <v>4</v>
      </c>
      <c r="H369" s="59"/>
      <c r="O369"/>
      <c r="P369"/>
    </row>
    <row r="370" spans="1:16" ht="14.4">
      <c r="A370" s="59"/>
      <c r="B370" s="160">
        <v>45838</v>
      </c>
      <c r="C370" s="63">
        <v>12</v>
      </c>
      <c r="D370" s="64" t="s">
        <v>150</v>
      </c>
      <c r="E370" s="64" t="s">
        <v>153</v>
      </c>
      <c r="F370" s="161">
        <v>1</v>
      </c>
      <c r="H370" s="59"/>
      <c r="O370"/>
      <c r="P370"/>
    </row>
    <row r="371" spans="1:16" ht="14.4">
      <c r="A371" s="59"/>
      <c r="B371" s="160">
        <v>45838</v>
      </c>
      <c r="C371" s="63">
        <v>99</v>
      </c>
      <c r="D371" s="64" t="s">
        <v>146</v>
      </c>
      <c r="E371" s="64" t="s">
        <v>144</v>
      </c>
      <c r="F371" s="161">
        <v>1</v>
      </c>
      <c r="H371" s="59"/>
      <c r="O371"/>
      <c r="P371"/>
    </row>
    <row r="372" spans="1:16" ht="14.4">
      <c r="A372" s="59"/>
      <c r="B372" s="160">
        <v>45840</v>
      </c>
      <c r="C372" s="63">
        <v>14</v>
      </c>
      <c r="D372" s="64" t="s">
        <v>138</v>
      </c>
      <c r="E372" s="64" t="s">
        <v>142</v>
      </c>
      <c r="F372" s="161">
        <v>1</v>
      </c>
      <c r="H372" s="59"/>
      <c r="O372"/>
      <c r="P372"/>
    </row>
    <row r="373" spans="1:16" ht="14.4">
      <c r="A373" s="59"/>
      <c r="B373" s="160">
        <v>45842</v>
      </c>
      <c r="C373" s="63">
        <v>39</v>
      </c>
      <c r="D373" s="64" t="s">
        <v>151</v>
      </c>
      <c r="E373" s="64" t="s">
        <v>156</v>
      </c>
      <c r="F373" s="161">
        <v>2</v>
      </c>
      <c r="H373" s="59"/>
      <c r="O373"/>
      <c r="P373"/>
    </row>
    <row r="374" spans="1:16" ht="14.4">
      <c r="A374" s="59"/>
      <c r="B374" s="160">
        <v>45842</v>
      </c>
      <c r="C374" s="63">
        <v>49</v>
      </c>
      <c r="D374" s="64" t="s">
        <v>141</v>
      </c>
      <c r="E374" s="64" t="s">
        <v>148</v>
      </c>
      <c r="F374" s="161">
        <v>4</v>
      </c>
      <c r="H374" s="59"/>
      <c r="O374"/>
      <c r="P374"/>
    </row>
    <row r="375" spans="1:16" ht="14.4">
      <c r="A375" s="59"/>
      <c r="B375" s="160">
        <v>45843</v>
      </c>
      <c r="C375" s="63">
        <v>43</v>
      </c>
      <c r="D375" s="64" t="s">
        <v>143</v>
      </c>
      <c r="E375" s="64" t="s">
        <v>147</v>
      </c>
      <c r="F375" s="161">
        <v>2</v>
      </c>
      <c r="H375" s="59"/>
      <c r="O375"/>
      <c r="P375"/>
    </row>
    <row r="376" spans="1:16" ht="14.4">
      <c r="A376" s="59"/>
      <c r="B376" s="160">
        <v>45846</v>
      </c>
      <c r="C376" s="63">
        <v>72</v>
      </c>
      <c r="D376" s="64" t="s">
        <v>150</v>
      </c>
      <c r="E376" s="64" t="s">
        <v>139</v>
      </c>
      <c r="F376" s="161">
        <v>2</v>
      </c>
      <c r="H376" s="59"/>
      <c r="O376"/>
      <c r="P376"/>
    </row>
    <row r="377" spans="1:16" ht="14.4">
      <c r="A377" s="59"/>
      <c r="B377" s="160">
        <v>45846</v>
      </c>
      <c r="C377" s="63">
        <v>50</v>
      </c>
      <c r="D377" s="64" t="s">
        <v>146</v>
      </c>
      <c r="E377" s="64" t="s">
        <v>153</v>
      </c>
      <c r="F377" s="161">
        <v>3</v>
      </c>
      <c r="H377" s="59"/>
      <c r="O377"/>
      <c r="P377"/>
    </row>
    <row r="378" spans="1:16" ht="14.4">
      <c r="A378" s="59"/>
      <c r="B378" s="160">
        <v>45847</v>
      </c>
      <c r="C378" s="63">
        <v>81</v>
      </c>
      <c r="D378" s="64" t="s">
        <v>138</v>
      </c>
      <c r="E378" s="64" t="s">
        <v>144</v>
      </c>
      <c r="F378" s="161">
        <v>3</v>
      </c>
      <c r="H378" s="59"/>
      <c r="O378"/>
      <c r="P378"/>
    </row>
    <row r="379" spans="1:16" ht="14.4">
      <c r="A379" s="59"/>
      <c r="B379" s="160">
        <v>45847</v>
      </c>
      <c r="C379" s="63">
        <v>85</v>
      </c>
      <c r="D379" s="64" t="s">
        <v>151</v>
      </c>
      <c r="E379" s="64" t="s">
        <v>142</v>
      </c>
      <c r="F379" s="161">
        <v>2</v>
      </c>
      <c r="H379" s="59"/>
      <c r="O379"/>
      <c r="P379"/>
    </row>
    <row r="380" spans="1:16" ht="14.4">
      <c r="A380" s="59"/>
      <c r="B380" s="160">
        <v>45847</v>
      </c>
      <c r="C380" s="63">
        <v>65</v>
      </c>
      <c r="D380" s="64" t="s">
        <v>141</v>
      </c>
      <c r="E380" s="64" t="s">
        <v>156</v>
      </c>
      <c r="F380" s="161">
        <v>3</v>
      </c>
      <c r="H380" s="59"/>
      <c r="O380"/>
      <c r="P380"/>
    </row>
    <row r="381" spans="1:16" ht="14.4">
      <c r="A381" s="59"/>
      <c r="B381" s="160">
        <v>45848</v>
      </c>
      <c r="C381" s="63">
        <v>17</v>
      </c>
      <c r="D381" s="64" t="s">
        <v>143</v>
      </c>
      <c r="E381" s="64" t="s">
        <v>148</v>
      </c>
      <c r="F381" s="161">
        <v>4</v>
      </c>
      <c r="H381" s="59"/>
      <c r="O381"/>
      <c r="P381"/>
    </row>
    <row r="382" spans="1:16" ht="14.4">
      <c r="A382" s="59"/>
      <c r="B382" s="160">
        <v>45848</v>
      </c>
      <c r="C382" s="63">
        <v>7</v>
      </c>
      <c r="D382" s="64" t="s">
        <v>150</v>
      </c>
      <c r="E382" s="64" t="s">
        <v>147</v>
      </c>
      <c r="F382" s="161">
        <v>2</v>
      </c>
      <c r="H382" s="59"/>
      <c r="O382"/>
      <c r="P382"/>
    </row>
    <row r="383" spans="1:16" ht="14.4">
      <c r="A383" s="59"/>
      <c r="B383" s="160">
        <v>45848</v>
      </c>
      <c r="C383" s="63">
        <v>76</v>
      </c>
      <c r="D383" s="64" t="s">
        <v>146</v>
      </c>
      <c r="E383" s="64" t="s">
        <v>139</v>
      </c>
      <c r="F383" s="161">
        <v>3</v>
      </c>
      <c r="H383" s="59"/>
      <c r="O383"/>
      <c r="P383"/>
    </row>
    <row r="384" spans="1:16" ht="14.4">
      <c r="A384" s="59"/>
      <c r="B384" s="160">
        <v>45849</v>
      </c>
      <c r="C384" s="63">
        <v>26</v>
      </c>
      <c r="D384" s="64" t="s">
        <v>138</v>
      </c>
      <c r="E384" s="64" t="s">
        <v>153</v>
      </c>
      <c r="F384" s="161">
        <v>4</v>
      </c>
      <c r="H384" s="59"/>
      <c r="O384"/>
      <c r="P384"/>
    </row>
    <row r="385" spans="1:16" ht="14.4">
      <c r="A385" s="59"/>
      <c r="B385" s="160">
        <v>45850</v>
      </c>
      <c r="C385" s="63">
        <v>10</v>
      </c>
      <c r="D385" s="64" t="s">
        <v>151</v>
      </c>
      <c r="E385" s="64" t="s">
        <v>144</v>
      </c>
      <c r="F385" s="161">
        <v>2</v>
      </c>
      <c r="H385" s="59"/>
      <c r="O385"/>
      <c r="P385"/>
    </row>
    <row r="386" spans="1:16" ht="14.4">
      <c r="A386" s="59"/>
      <c r="B386" s="160">
        <v>45850</v>
      </c>
      <c r="C386" s="63">
        <v>55</v>
      </c>
      <c r="D386" s="64" t="s">
        <v>141</v>
      </c>
      <c r="E386" s="64" t="s">
        <v>142</v>
      </c>
      <c r="F386" s="161">
        <v>4</v>
      </c>
      <c r="H386" s="59"/>
      <c r="O386"/>
      <c r="P386"/>
    </row>
    <row r="387" spans="1:16" ht="14.4">
      <c r="A387" s="59"/>
      <c r="B387" s="160">
        <v>45850</v>
      </c>
      <c r="C387" s="63">
        <v>51</v>
      </c>
      <c r="D387" s="64" t="s">
        <v>143</v>
      </c>
      <c r="E387" s="64" t="s">
        <v>156</v>
      </c>
      <c r="F387" s="161">
        <v>4</v>
      </c>
      <c r="H387" s="59"/>
      <c r="O387"/>
      <c r="P387"/>
    </row>
    <row r="388" spans="1:16" ht="14.4">
      <c r="A388" s="59"/>
      <c r="B388" s="160">
        <v>45851</v>
      </c>
      <c r="C388" s="63">
        <v>20</v>
      </c>
      <c r="D388" s="64" t="s">
        <v>150</v>
      </c>
      <c r="E388" s="64" t="s">
        <v>148</v>
      </c>
      <c r="F388" s="161">
        <v>4</v>
      </c>
      <c r="H388" s="59"/>
      <c r="O388"/>
      <c r="P388"/>
    </row>
    <row r="389" spans="1:16" ht="14.4">
      <c r="A389" s="59"/>
      <c r="B389" s="160">
        <v>45851</v>
      </c>
      <c r="C389" s="63">
        <v>35</v>
      </c>
      <c r="D389" s="64" t="s">
        <v>146</v>
      </c>
      <c r="E389" s="64" t="s">
        <v>147</v>
      </c>
      <c r="F389" s="161">
        <v>2</v>
      </c>
      <c r="H389" s="59"/>
      <c r="O389"/>
      <c r="P389"/>
    </row>
    <row r="390" spans="1:16" ht="14.4">
      <c r="A390" s="59"/>
      <c r="B390" s="160">
        <v>45852</v>
      </c>
      <c r="C390" s="63">
        <v>40</v>
      </c>
      <c r="D390" s="64" t="s">
        <v>138</v>
      </c>
      <c r="E390" s="64" t="s">
        <v>139</v>
      </c>
      <c r="F390" s="161">
        <v>1</v>
      </c>
      <c r="H390" s="59"/>
      <c r="O390"/>
      <c r="P390"/>
    </row>
    <row r="391" spans="1:16" ht="14.4">
      <c r="A391" s="59"/>
      <c r="B391" s="160">
        <v>45853</v>
      </c>
      <c r="C391" s="63">
        <v>57</v>
      </c>
      <c r="D391" s="64" t="s">
        <v>151</v>
      </c>
      <c r="E391" s="64" t="s">
        <v>153</v>
      </c>
      <c r="F391" s="161">
        <v>1</v>
      </c>
      <c r="H391" s="59"/>
      <c r="O391"/>
      <c r="P391"/>
    </row>
    <row r="392" spans="1:16" ht="14.4">
      <c r="A392" s="59"/>
      <c r="B392" s="160">
        <v>45854</v>
      </c>
      <c r="C392" s="63">
        <v>88</v>
      </c>
      <c r="D392" s="64" t="s">
        <v>141</v>
      </c>
      <c r="E392" s="64" t="s">
        <v>144</v>
      </c>
      <c r="F392" s="161">
        <v>2</v>
      </c>
      <c r="H392" s="59"/>
      <c r="O392"/>
      <c r="P392"/>
    </row>
    <row r="393" spans="1:16" ht="14.4">
      <c r="A393" s="59"/>
      <c r="B393" s="160">
        <v>45858</v>
      </c>
      <c r="C393" s="63">
        <v>52</v>
      </c>
      <c r="D393" s="64" t="s">
        <v>143</v>
      </c>
      <c r="E393" s="64" t="s">
        <v>142</v>
      </c>
      <c r="F393" s="161">
        <v>1</v>
      </c>
      <c r="H393" s="59"/>
      <c r="O393"/>
      <c r="P393"/>
    </row>
    <row r="394" spans="1:16" ht="14.4">
      <c r="A394" s="59"/>
      <c r="B394" s="160">
        <v>45859</v>
      </c>
      <c r="C394" s="63">
        <v>98</v>
      </c>
      <c r="D394" s="64" t="s">
        <v>150</v>
      </c>
      <c r="E394" s="64" t="s">
        <v>156</v>
      </c>
      <c r="F394" s="161">
        <v>1</v>
      </c>
      <c r="H394" s="59"/>
      <c r="O394"/>
      <c r="P394"/>
    </row>
    <row r="395" spans="1:16" ht="14.4">
      <c r="A395" s="59"/>
      <c r="B395" s="160">
        <v>45859</v>
      </c>
      <c r="C395" s="63">
        <v>78</v>
      </c>
      <c r="D395" s="64" t="s">
        <v>146</v>
      </c>
      <c r="E395" s="64" t="s">
        <v>148</v>
      </c>
      <c r="F395" s="161">
        <v>1</v>
      </c>
      <c r="H395" s="59"/>
      <c r="O395"/>
      <c r="P395"/>
    </row>
    <row r="396" spans="1:16" ht="14.4">
      <c r="A396" s="59"/>
      <c r="B396" s="160">
        <v>45864</v>
      </c>
      <c r="C396" s="63">
        <v>57</v>
      </c>
      <c r="D396" s="64" t="s">
        <v>138</v>
      </c>
      <c r="E396" s="64" t="s">
        <v>147</v>
      </c>
      <c r="F396" s="161">
        <v>4</v>
      </c>
      <c r="H396" s="59"/>
      <c r="O396"/>
      <c r="P396"/>
    </row>
    <row r="397" spans="1:16" ht="14.4">
      <c r="A397" s="59"/>
      <c r="B397" s="160">
        <v>45864</v>
      </c>
      <c r="C397" s="63">
        <v>29</v>
      </c>
      <c r="D397" s="64" t="s">
        <v>151</v>
      </c>
      <c r="E397" s="64" t="s">
        <v>139</v>
      </c>
      <c r="F397" s="161">
        <v>2</v>
      </c>
      <c r="H397" s="59"/>
      <c r="O397"/>
      <c r="P397"/>
    </row>
    <row r="398" spans="1:16" ht="14.4">
      <c r="A398" s="59"/>
      <c r="B398" s="160">
        <v>45865</v>
      </c>
      <c r="C398" s="63">
        <v>91</v>
      </c>
      <c r="D398" s="64" t="s">
        <v>141</v>
      </c>
      <c r="E398" s="64" t="s">
        <v>153</v>
      </c>
      <c r="F398" s="161">
        <v>2</v>
      </c>
      <c r="H398" s="59"/>
      <c r="O398"/>
      <c r="P398"/>
    </row>
    <row r="399" spans="1:16" ht="14.4">
      <c r="A399" s="59"/>
      <c r="B399" s="160">
        <v>45867</v>
      </c>
      <c r="C399" s="63">
        <v>47</v>
      </c>
      <c r="D399" s="64" t="s">
        <v>143</v>
      </c>
      <c r="E399" s="64" t="s">
        <v>144</v>
      </c>
      <c r="F399" s="161">
        <v>4</v>
      </c>
      <c r="H399" s="59"/>
      <c r="O399"/>
      <c r="P399"/>
    </row>
    <row r="400" spans="1:16" ht="14.4">
      <c r="A400" s="59"/>
      <c r="B400" s="160">
        <v>45867</v>
      </c>
      <c r="C400" s="63">
        <v>17</v>
      </c>
      <c r="D400" s="64" t="s">
        <v>150</v>
      </c>
      <c r="E400" s="64" t="s">
        <v>142</v>
      </c>
      <c r="F400" s="161">
        <v>2</v>
      </c>
      <c r="H400" s="59"/>
      <c r="O400"/>
      <c r="P400"/>
    </row>
    <row r="401" spans="1:16" ht="14.4">
      <c r="A401" s="59"/>
      <c r="B401" s="160">
        <v>45868</v>
      </c>
      <c r="C401" s="63">
        <v>35</v>
      </c>
      <c r="D401" s="64" t="s">
        <v>146</v>
      </c>
      <c r="E401" s="64" t="s">
        <v>156</v>
      </c>
      <c r="F401" s="161">
        <v>2</v>
      </c>
      <c r="H401" s="59"/>
      <c r="O401"/>
      <c r="P401"/>
    </row>
    <row r="402" spans="1:16" ht="14.4">
      <c r="A402" s="59"/>
      <c r="B402" s="160">
        <v>45869</v>
      </c>
      <c r="C402" s="63">
        <v>25</v>
      </c>
      <c r="D402" s="64" t="s">
        <v>138</v>
      </c>
      <c r="E402" s="64" t="s">
        <v>148</v>
      </c>
      <c r="F402" s="161">
        <v>1</v>
      </c>
      <c r="H402" s="59"/>
      <c r="O402"/>
      <c r="P402"/>
    </row>
    <row r="403" spans="1:16" ht="14.4">
      <c r="A403" s="59"/>
      <c r="B403" s="160">
        <v>45869</v>
      </c>
      <c r="C403" s="63">
        <v>2</v>
      </c>
      <c r="D403" s="64" t="s">
        <v>151</v>
      </c>
      <c r="E403" s="64" t="s">
        <v>147</v>
      </c>
      <c r="F403" s="161">
        <v>1</v>
      </c>
      <c r="H403" s="59"/>
      <c r="O403"/>
      <c r="P403"/>
    </row>
    <row r="404" spans="1:16" ht="14.4">
      <c r="A404" s="59"/>
      <c r="B404" s="160">
        <v>45870</v>
      </c>
      <c r="C404" s="63">
        <v>52</v>
      </c>
      <c r="D404" s="64" t="s">
        <v>141</v>
      </c>
      <c r="E404" s="64" t="s">
        <v>139</v>
      </c>
      <c r="F404" s="161">
        <v>3</v>
      </c>
      <c r="H404" s="59"/>
      <c r="O404"/>
      <c r="P404"/>
    </row>
    <row r="405" spans="1:16" ht="14.4">
      <c r="A405" s="59"/>
      <c r="B405" s="160">
        <v>45874</v>
      </c>
      <c r="C405" s="63">
        <v>21</v>
      </c>
      <c r="D405" s="64" t="s">
        <v>143</v>
      </c>
      <c r="E405" s="64" t="s">
        <v>153</v>
      </c>
      <c r="F405" s="161">
        <v>1</v>
      </c>
      <c r="H405" s="59"/>
      <c r="O405"/>
      <c r="P405"/>
    </row>
    <row r="406" spans="1:16" ht="14.4">
      <c r="A406" s="59"/>
      <c r="B406" s="160">
        <v>45874</v>
      </c>
      <c r="C406" s="63">
        <v>14</v>
      </c>
      <c r="D406" s="64" t="s">
        <v>150</v>
      </c>
      <c r="E406" s="64" t="s">
        <v>144</v>
      </c>
      <c r="F406" s="161">
        <v>1</v>
      </c>
      <c r="H406" s="59"/>
      <c r="O406"/>
      <c r="P406"/>
    </row>
    <row r="407" spans="1:16" ht="14.4">
      <c r="A407" s="59"/>
      <c r="B407" s="160">
        <v>45876</v>
      </c>
      <c r="C407" s="63">
        <v>71</v>
      </c>
      <c r="D407" s="64" t="s">
        <v>146</v>
      </c>
      <c r="E407" s="64" t="s">
        <v>142</v>
      </c>
      <c r="F407" s="161">
        <v>4</v>
      </c>
      <c r="H407" s="59"/>
      <c r="O407"/>
      <c r="P407"/>
    </row>
    <row r="408" spans="1:16" ht="14.4">
      <c r="A408" s="59"/>
      <c r="B408" s="160">
        <v>45876</v>
      </c>
      <c r="C408" s="63">
        <v>1</v>
      </c>
      <c r="D408" s="64" t="s">
        <v>138</v>
      </c>
      <c r="E408" s="64" t="s">
        <v>156</v>
      </c>
      <c r="F408" s="161">
        <v>3</v>
      </c>
      <c r="H408" s="59"/>
      <c r="O408"/>
      <c r="P408"/>
    </row>
    <row r="409" spans="1:16" ht="14.4">
      <c r="A409" s="59"/>
      <c r="B409" s="160">
        <v>45877</v>
      </c>
      <c r="C409" s="63">
        <v>91</v>
      </c>
      <c r="D409" s="64" t="s">
        <v>151</v>
      </c>
      <c r="E409" s="64" t="s">
        <v>148</v>
      </c>
      <c r="F409" s="161">
        <v>4</v>
      </c>
      <c r="H409" s="59"/>
      <c r="O409"/>
      <c r="P409"/>
    </row>
    <row r="410" spans="1:16" ht="14.4">
      <c r="A410" s="59"/>
      <c r="B410" s="160">
        <v>45877</v>
      </c>
      <c r="C410" s="63">
        <v>17</v>
      </c>
      <c r="D410" s="64" t="s">
        <v>141</v>
      </c>
      <c r="E410" s="64" t="s">
        <v>147</v>
      </c>
      <c r="F410" s="161">
        <v>4</v>
      </c>
      <c r="H410" s="59"/>
      <c r="O410"/>
      <c r="P410"/>
    </row>
    <row r="411" spans="1:16" ht="14.4">
      <c r="A411" s="59"/>
      <c r="B411" s="160">
        <v>45879</v>
      </c>
      <c r="C411" s="63">
        <v>2</v>
      </c>
      <c r="D411" s="64" t="s">
        <v>143</v>
      </c>
      <c r="E411" s="64" t="s">
        <v>139</v>
      </c>
      <c r="F411" s="161">
        <v>1</v>
      </c>
      <c r="H411" s="59"/>
      <c r="O411"/>
      <c r="P411"/>
    </row>
    <row r="412" spans="1:16" ht="14.4">
      <c r="A412" s="59"/>
      <c r="B412" s="160">
        <v>45879</v>
      </c>
      <c r="C412" s="63">
        <v>8</v>
      </c>
      <c r="D412" s="64" t="s">
        <v>150</v>
      </c>
      <c r="E412" s="64" t="s">
        <v>153</v>
      </c>
      <c r="F412" s="161">
        <v>3</v>
      </c>
      <c r="H412" s="59"/>
      <c r="O412"/>
      <c r="P412"/>
    </row>
    <row r="413" spans="1:16" ht="14.4">
      <c r="A413" s="59"/>
      <c r="B413" s="160">
        <v>45880</v>
      </c>
      <c r="C413" s="63">
        <v>75</v>
      </c>
      <c r="D413" s="64" t="s">
        <v>146</v>
      </c>
      <c r="E413" s="64" t="s">
        <v>144</v>
      </c>
      <c r="F413" s="161">
        <v>3</v>
      </c>
      <c r="H413" s="59"/>
      <c r="O413"/>
      <c r="P413"/>
    </row>
    <row r="414" spans="1:16" ht="14.4">
      <c r="A414" s="59"/>
      <c r="B414" s="160">
        <v>45881</v>
      </c>
      <c r="C414" s="63">
        <v>34</v>
      </c>
      <c r="D414" s="64" t="s">
        <v>138</v>
      </c>
      <c r="E414" s="64" t="s">
        <v>142</v>
      </c>
      <c r="F414" s="161">
        <v>3</v>
      </c>
      <c r="H414" s="59"/>
      <c r="O414"/>
      <c r="P414"/>
    </row>
    <row r="415" spans="1:16" ht="14.4">
      <c r="A415" s="59"/>
      <c r="B415" s="160">
        <v>45883</v>
      </c>
      <c r="C415" s="63">
        <v>75</v>
      </c>
      <c r="D415" s="64" t="s">
        <v>151</v>
      </c>
      <c r="E415" s="64" t="s">
        <v>156</v>
      </c>
      <c r="F415" s="161">
        <v>1</v>
      </c>
      <c r="H415" s="59"/>
      <c r="O415"/>
      <c r="P415"/>
    </row>
    <row r="416" spans="1:16" ht="14.4">
      <c r="A416" s="59"/>
      <c r="B416" s="160">
        <v>45884</v>
      </c>
      <c r="C416" s="63">
        <v>6</v>
      </c>
      <c r="D416" s="64" t="s">
        <v>141</v>
      </c>
      <c r="E416" s="64" t="s">
        <v>148</v>
      </c>
      <c r="F416" s="161">
        <v>3</v>
      </c>
      <c r="H416" s="59"/>
      <c r="O416"/>
      <c r="P416"/>
    </row>
    <row r="417" spans="1:16" ht="14.4">
      <c r="A417" s="59"/>
      <c r="B417" s="160">
        <v>45885</v>
      </c>
      <c r="C417" s="63">
        <v>51</v>
      </c>
      <c r="D417" s="64" t="s">
        <v>143</v>
      </c>
      <c r="E417" s="64" t="s">
        <v>147</v>
      </c>
      <c r="F417" s="161">
        <v>4</v>
      </c>
      <c r="H417" s="59"/>
      <c r="O417"/>
      <c r="P417"/>
    </row>
    <row r="418" spans="1:16" ht="14.4">
      <c r="A418" s="59"/>
      <c r="B418" s="160">
        <v>45886</v>
      </c>
      <c r="C418" s="63">
        <v>48</v>
      </c>
      <c r="D418" s="64" t="s">
        <v>150</v>
      </c>
      <c r="E418" s="64" t="s">
        <v>139</v>
      </c>
      <c r="F418" s="161">
        <v>3</v>
      </c>
      <c r="H418" s="59"/>
      <c r="O418"/>
      <c r="P418"/>
    </row>
    <row r="419" spans="1:16" ht="14.4">
      <c r="A419" s="59"/>
      <c r="B419" s="160">
        <v>45888</v>
      </c>
      <c r="C419" s="63">
        <v>18</v>
      </c>
      <c r="D419" s="64" t="s">
        <v>146</v>
      </c>
      <c r="E419" s="64" t="s">
        <v>153</v>
      </c>
      <c r="F419" s="161">
        <v>3</v>
      </c>
      <c r="H419" s="59"/>
      <c r="O419"/>
      <c r="P419"/>
    </row>
    <row r="420" spans="1:16" ht="14.4">
      <c r="A420" s="59"/>
      <c r="B420" s="160">
        <v>45889</v>
      </c>
      <c r="C420" s="63">
        <v>21</v>
      </c>
      <c r="D420" s="64" t="s">
        <v>138</v>
      </c>
      <c r="E420" s="64" t="s">
        <v>144</v>
      </c>
      <c r="F420" s="161">
        <v>1</v>
      </c>
      <c r="H420" s="59"/>
      <c r="O420"/>
      <c r="P420"/>
    </row>
    <row r="421" spans="1:16" ht="14.4">
      <c r="A421" s="59"/>
      <c r="B421" s="160">
        <v>45889</v>
      </c>
      <c r="C421" s="63">
        <v>98</v>
      </c>
      <c r="D421" s="64" t="s">
        <v>151</v>
      </c>
      <c r="E421" s="64" t="s">
        <v>142</v>
      </c>
      <c r="F421" s="161">
        <v>4</v>
      </c>
      <c r="H421" s="59"/>
      <c r="O421"/>
      <c r="P421"/>
    </row>
    <row r="422" spans="1:16" ht="14.4">
      <c r="A422" s="59"/>
      <c r="B422" s="160">
        <v>45890</v>
      </c>
      <c r="C422" s="63">
        <v>47</v>
      </c>
      <c r="D422" s="64" t="s">
        <v>141</v>
      </c>
      <c r="E422" s="64" t="s">
        <v>156</v>
      </c>
      <c r="F422" s="161">
        <v>2</v>
      </c>
      <c r="H422" s="59"/>
      <c r="O422"/>
      <c r="P422"/>
    </row>
    <row r="423" spans="1:16" ht="14.4">
      <c r="A423" s="59"/>
      <c r="B423" s="160">
        <v>45892</v>
      </c>
      <c r="C423" s="63">
        <v>18</v>
      </c>
      <c r="D423" s="64" t="s">
        <v>143</v>
      </c>
      <c r="E423" s="64" t="s">
        <v>148</v>
      </c>
      <c r="F423" s="161">
        <v>1</v>
      </c>
      <c r="H423" s="59"/>
      <c r="O423"/>
      <c r="P423"/>
    </row>
    <row r="424" spans="1:16" ht="14.4">
      <c r="A424" s="59"/>
      <c r="B424" s="160">
        <v>45892</v>
      </c>
      <c r="C424" s="63">
        <v>81</v>
      </c>
      <c r="D424" s="64" t="s">
        <v>150</v>
      </c>
      <c r="E424" s="64" t="s">
        <v>147</v>
      </c>
      <c r="F424" s="161">
        <v>1</v>
      </c>
      <c r="H424" s="59"/>
      <c r="O424"/>
      <c r="P424"/>
    </row>
    <row r="425" spans="1:16" ht="14.4">
      <c r="A425" s="59"/>
      <c r="B425" s="160">
        <v>45893</v>
      </c>
      <c r="C425" s="63">
        <v>23</v>
      </c>
      <c r="D425" s="64" t="s">
        <v>146</v>
      </c>
      <c r="E425" s="64" t="s">
        <v>139</v>
      </c>
      <c r="F425" s="161">
        <v>4</v>
      </c>
      <c r="H425" s="59"/>
      <c r="O425"/>
      <c r="P425"/>
    </row>
    <row r="426" spans="1:16" ht="14.4">
      <c r="A426" s="59"/>
      <c r="B426" s="160">
        <v>45893</v>
      </c>
      <c r="C426" s="63">
        <v>71</v>
      </c>
      <c r="D426" s="64" t="s">
        <v>138</v>
      </c>
      <c r="E426" s="64" t="s">
        <v>153</v>
      </c>
      <c r="F426" s="161">
        <v>2</v>
      </c>
      <c r="H426" s="59"/>
      <c r="O426"/>
      <c r="P426"/>
    </row>
    <row r="427" spans="1:16" ht="14.4">
      <c r="A427" s="59"/>
      <c r="B427" s="160">
        <v>45896</v>
      </c>
      <c r="C427" s="63">
        <v>36</v>
      </c>
      <c r="D427" s="64" t="s">
        <v>151</v>
      </c>
      <c r="E427" s="64" t="s">
        <v>144</v>
      </c>
      <c r="F427" s="161">
        <v>4</v>
      </c>
      <c r="H427" s="59"/>
      <c r="O427"/>
      <c r="P427"/>
    </row>
    <row r="428" spans="1:16" ht="14.4">
      <c r="A428" s="59"/>
      <c r="B428" s="160">
        <v>45897</v>
      </c>
      <c r="C428" s="63">
        <v>67</v>
      </c>
      <c r="D428" s="64" t="s">
        <v>141</v>
      </c>
      <c r="E428" s="64" t="s">
        <v>142</v>
      </c>
      <c r="F428" s="161">
        <v>1</v>
      </c>
      <c r="H428" s="59"/>
      <c r="O428"/>
      <c r="P428"/>
    </row>
    <row r="429" spans="1:16" ht="14.4">
      <c r="A429" s="59"/>
      <c r="B429" s="160">
        <v>45897</v>
      </c>
      <c r="C429" s="63">
        <v>27</v>
      </c>
      <c r="D429" s="64" t="s">
        <v>143</v>
      </c>
      <c r="E429" s="64" t="s">
        <v>156</v>
      </c>
      <c r="F429" s="161">
        <v>1</v>
      </c>
      <c r="H429" s="59"/>
      <c r="O429"/>
      <c r="P429"/>
    </row>
    <row r="430" spans="1:16" ht="14.4">
      <c r="A430" s="59"/>
      <c r="B430" s="160">
        <v>45899</v>
      </c>
      <c r="C430" s="63">
        <v>64</v>
      </c>
      <c r="D430" s="64" t="s">
        <v>150</v>
      </c>
      <c r="E430" s="64" t="s">
        <v>148</v>
      </c>
      <c r="F430" s="161">
        <v>3</v>
      </c>
      <c r="H430" s="59"/>
      <c r="O430"/>
      <c r="P430"/>
    </row>
    <row r="431" spans="1:16" ht="14.4">
      <c r="A431" s="59"/>
      <c r="B431" s="160">
        <v>45900</v>
      </c>
      <c r="C431" s="63">
        <v>16</v>
      </c>
      <c r="D431" s="64" t="s">
        <v>146</v>
      </c>
      <c r="E431" s="64" t="s">
        <v>147</v>
      </c>
      <c r="F431" s="161">
        <v>4</v>
      </c>
      <c r="H431" s="59"/>
      <c r="O431"/>
      <c r="P431"/>
    </row>
    <row r="432" spans="1:16" ht="14.4">
      <c r="A432" s="59"/>
      <c r="B432" s="160">
        <v>45901</v>
      </c>
      <c r="C432" s="63">
        <v>69</v>
      </c>
      <c r="D432" s="64" t="s">
        <v>138</v>
      </c>
      <c r="E432" s="64" t="s">
        <v>139</v>
      </c>
      <c r="F432" s="161">
        <v>2</v>
      </c>
      <c r="H432" s="59"/>
      <c r="O432"/>
      <c r="P432"/>
    </row>
    <row r="433" spans="1:16" ht="14.4">
      <c r="A433" s="59"/>
      <c r="B433" s="160">
        <v>45902</v>
      </c>
      <c r="C433" s="63">
        <v>34</v>
      </c>
      <c r="D433" s="64" t="s">
        <v>151</v>
      </c>
      <c r="E433" s="64" t="s">
        <v>153</v>
      </c>
      <c r="F433" s="161">
        <v>2</v>
      </c>
      <c r="H433" s="59"/>
      <c r="O433"/>
      <c r="P433"/>
    </row>
    <row r="434" spans="1:16" ht="14.4">
      <c r="A434" s="59"/>
      <c r="B434" s="160">
        <v>45904</v>
      </c>
      <c r="C434" s="63">
        <v>30</v>
      </c>
      <c r="D434" s="64" t="s">
        <v>141</v>
      </c>
      <c r="E434" s="64" t="s">
        <v>144</v>
      </c>
      <c r="F434" s="161">
        <v>1</v>
      </c>
      <c r="H434" s="59"/>
      <c r="O434"/>
      <c r="P434"/>
    </row>
    <row r="435" spans="1:16" ht="14.4">
      <c r="A435" s="59"/>
      <c r="B435" s="160">
        <v>45906</v>
      </c>
      <c r="C435" s="63">
        <v>8</v>
      </c>
      <c r="D435" s="64" t="s">
        <v>143</v>
      </c>
      <c r="E435" s="64" t="s">
        <v>142</v>
      </c>
      <c r="F435" s="161">
        <v>3</v>
      </c>
      <c r="H435" s="59"/>
      <c r="O435"/>
      <c r="P435"/>
    </row>
    <row r="436" spans="1:16" ht="14.4">
      <c r="A436" s="59"/>
      <c r="B436" s="160">
        <v>45908</v>
      </c>
      <c r="C436" s="63">
        <v>30</v>
      </c>
      <c r="D436" s="64" t="s">
        <v>150</v>
      </c>
      <c r="E436" s="64" t="s">
        <v>156</v>
      </c>
      <c r="F436" s="161">
        <v>3</v>
      </c>
      <c r="H436" s="59"/>
      <c r="O436"/>
      <c r="P436"/>
    </row>
    <row r="437" spans="1:16" ht="14.4">
      <c r="A437" s="59"/>
      <c r="B437" s="160">
        <v>45908</v>
      </c>
      <c r="C437" s="63">
        <v>48</v>
      </c>
      <c r="D437" s="64" t="s">
        <v>146</v>
      </c>
      <c r="E437" s="64" t="s">
        <v>148</v>
      </c>
      <c r="F437" s="161">
        <v>2</v>
      </c>
      <c r="H437" s="59"/>
      <c r="O437"/>
      <c r="P437"/>
    </row>
    <row r="438" spans="1:16" ht="14.4">
      <c r="A438" s="59"/>
      <c r="B438" s="160">
        <v>45909</v>
      </c>
      <c r="C438" s="63">
        <v>71</v>
      </c>
      <c r="D438" s="64" t="s">
        <v>138</v>
      </c>
      <c r="E438" s="64" t="s">
        <v>147</v>
      </c>
      <c r="F438" s="161">
        <v>1</v>
      </c>
      <c r="H438" s="59"/>
      <c r="O438"/>
      <c r="P438"/>
    </row>
    <row r="439" spans="1:16" ht="14.4">
      <c r="A439" s="59"/>
      <c r="B439" s="160">
        <v>45909</v>
      </c>
      <c r="C439" s="63">
        <v>2</v>
      </c>
      <c r="D439" s="64" t="s">
        <v>151</v>
      </c>
      <c r="E439" s="64" t="s">
        <v>139</v>
      </c>
      <c r="F439" s="161">
        <v>3</v>
      </c>
      <c r="H439" s="59"/>
      <c r="O439"/>
      <c r="P439"/>
    </row>
    <row r="440" spans="1:16" ht="14.4">
      <c r="A440" s="59"/>
      <c r="B440" s="160">
        <v>45911</v>
      </c>
      <c r="C440" s="63">
        <v>28</v>
      </c>
      <c r="D440" s="64" t="s">
        <v>141</v>
      </c>
      <c r="E440" s="64" t="s">
        <v>153</v>
      </c>
      <c r="F440" s="161">
        <v>2</v>
      </c>
      <c r="H440" s="59"/>
      <c r="O440"/>
      <c r="P440"/>
    </row>
    <row r="441" spans="1:16" ht="14.4">
      <c r="A441" s="59"/>
      <c r="B441" s="160">
        <v>45914</v>
      </c>
      <c r="C441" s="63">
        <v>58</v>
      </c>
      <c r="D441" s="64" t="s">
        <v>143</v>
      </c>
      <c r="E441" s="64" t="s">
        <v>144</v>
      </c>
      <c r="F441" s="161">
        <v>4</v>
      </c>
      <c r="H441" s="59"/>
      <c r="O441"/>
      <c r="P441"/>
    </row>
    <row r="442" spans="1:16" ht="14.4">
      <c r="A442" s="59"/>
      <c r="B442" s="160">
        <v>45914</v>
      </c>
      <c r="C442" s="63">
        <v>18</v>
      </c>
      <c r="D442" s="64" t="s">
        <v>150</v>
      </c>
      <c r="E442" s="64" t="s">
        <v>142</v>
      </c>
      <c r="F442" s="161">
        <v>3</v>
      </c>
      <c r="H442" s="59"/>
      <c r="O442"/>
      <c r="P442"/>
    </row>
    <row r="443" spans="1:16" ht="14.4">
      <c r="A443" s="59"/>
      <c r="B443" s="165">
        <v>45915</v>
      </c>
      <c r="C443" s="166">
        <v>25</v>
      </c>
      <c r="D443" s="167" t="s">
        <v>146</v>
      </c>
      <c r="E443" s="167" t="s">
        <v>156</v>
      </c>
      <c r="F443" s="168">
        <v>3</v>
      </c>
      <c r="H443" s="59"/>
      <c r="P443"/>
    </row>
    <row r="444" spans="1:16" ht="14.4">
      <c r="A444" s="59"/>
      <c r="B444" s="59"/>
      <c r="C444" s="59"/>
      <c r="D444" s="59"/>
      <c r="E444" s="59"/>
      <c r="F444" s="59"/>
      <c r="G444" s="59"/>
      <c r="H444" s="59"/>
      <c r="P444"/>
    </row>
    <row r="445" spans="1:16" ht="14.4">
      <c r="P445"/>
    </row>
    <row r="446" spans="1:16" ht="14.4">
      <c r="P446"/>
    </row>
    <row r="447" spans="1:16" ht="14.4">
      <c r="P447"/>
    </row>
    <row r="448" spans="1:16" ht="14.4">
      <c r="P448"/>
    </row>
    <row r="449" spans="16:16" ht="14.4">
      <c r="P449"/>
    </row>
  </sheetData>
  <sortState xmlns:xlrd2="http://schemas.microsoft.com/office/spreadsheetml/2017/richdata2" ref="B6:F443">
    <sortCondition ref="B6"/>
  </sortState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8">
    <tabColor rgb="FF00B050"/>
  </sheetPr>
  <dimension ref="A1:M443"/>
  <sheetViews>
    <sheetView showGridLines="0" workbookViewId="0"/>
  </sheetViews>
  <sheetFormatPr baseColWidth="10" defaultColWidth="11.44140625" defaultRowHeight="13.2"/>
  <cols>
    <col min="1" max="1" width="10.109375" style="58" bestFit="1" customWidth="1"/>
    <col min="2" max="2" width="7.88671875" style="58" customWidth="1"/>
    <col min="3" max="3" width="33" style="58" bestFit="1" customWidth="1"/>
    <col min="4" max="4" width="12.21875" style="58" customWidth="1"/>
    <col min="5" max="5" width="8" style="58" customWidth="1"/>
    <col min="6" max="6" width="2.33203125" style="58" customWidth="1"/>
    <col min="7" max="7" width="3.88671875" style="58" customWidth="1"/>
    <col min="8" max="8" width="2" style="58" bestFit="1" customWidth="1"/>
    <col min="9" max="10" width="16" style="58" customWidth="1"/>
    <col min="11" max="11" width="23.109375" style="58" customWidth="1"/>
    <col min="12" max="12" width="6.88671875" style="58" customWidth="1"/>
    <col min="13" max="13" width="2.88671875" style="58" customWidth="1"/>
    <col min="14" max="16384" width="11.44140625" style="58"/>
  </cols>
  <sheetData>
    <row r="1" spans="1:13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3.8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15.6">
      <c r="B3" s="60">
        <v>1</v>
      </c>
      <c r="C3" s="61" t="s">
        <v>166</v>
      </c>
      <c r="G3" s="59"/>
      <c r="J3" s="61" t="s">
        <v>166</v>
      </c>
      <c r="M3" s="59"/>
    </row>
    <row r="4" spans="1:13">
      <c r="G4" s="59"/>
      <c r="M4" s="59"/>
    </row>
    <row r="5" spans="1:13">
      <c r="A5" s="162" t="s">
        <v>719</v>
      </c>
      <c r="B5" s="163" t="s">
        <v>133</v>
      </c>
      <c r="C5" s="163" t="s">
        <v>134</v>
      </c>
      <c r="D5" s="163" t="s">
        <v>135</v>
      </c>
      <c r="E5" s="164" t="s">
        <v>136</v>
      </c>
      <c r="G5" s="59"/>
      <c r="H5" s="62">
        <v>1</v>
      </c>
      <c r="I5" s="58" t="s">
        <v>159</v>
      </c>
      <c r="M5" s="59"/>
    </row>
    <row r="6" spans="1:13">
      <c r="A6" s="160">
        <v>45478</v>
      </c>
      <c r="B6" s="63">
        <v>61</v>
      </c>
      <c r="C6" s="64" t="s">
        <v>138</v>
      </c>
      <c r="D6" s="64" t="s">
        <v>153</v>
      </c>
      <c r="E6" s="161">
        <v>4</v>
      </c>
      <c r="G6" s="59"/>
      <c r="H6" s="62"/>
      <c r="I6" s="58" t="s">
        <v>140</v>
      </c>
      <c r="J6" s="65">
        <f>+COUNTIFS(Tabla2[ARTICULO],D12)</f>
        <v>62</v>
      </c>
      <c r="L6" s="58">
        <v>62</v>
      </c>
      <c r="M6" s="59"/>
    </row>
    <row r="7" spans="1:13">
      <c r="A7" s="160">
        <v>45478</v>
      </c>
      <c r="B7" s="63">
        <v>91</v>
      </c>
      <c r="C7" s="64" t="s">
        <v>151</v>
      </c>
      <c r="D7" s="64" t="s">
        <v>144</v>
      </c>
      <c r="E7" s="161">
        <v>4</v>
      </c>
      <c r="G7" s="59"/>
      <c r="H7" s="62"/>
      <c r="M7" s="59"/>
    </row>
    <row r="8" spans="1:13">
      <c r="A8" s="160">
        <v>45478</v>
      </c>
      <c r="B8" s="63">
        <v>70</v>
      </c>
      <c r="C8" s="64" t="s">
        <v>141</v>
      </c>
      <c r="D8" s="64" t="s">
        <v>142</v>
      </c>
      <c r="E8" s="161">
        <v>4</v>
      </c>
      <c r="G8" s="59"/>
      <c r="H8" s="62">
        <v>2</v>
      </c>
      <c r="I8" s="58" t="s">
        <v>720</v>
      </c>
      <c r="M8" s="59"/>
    </row>
    <row r="9" spans="1:13">
      <c r="A9" s="160">
        <v>45480</v>
      </c>
      <c r="B9" s="63">
        <v>94</v>
      </c>
      <c r="C9" s="64" t="s">
        <v>143</v>
      </c>
      <c r="D9" s="64" t="s">
        <v>156</v>
      </c>
      <c r="E9" s="161">
        <v>4</v>
      </c>
      <c r="G9" s="59"/>
      <c r="H9" s="62"/>
      <c r="I9" s="58" t="s">
        <v>140</v>
      </c>
      <c r="J9" s="170">
        <f>+AVERAGEIFS(Tabla2[CANT],Tabla2[ARTICULO],D7)</f>
        <v>56.349206349206348</v>
      </c>
      <c r="L9" s="58">
        <v>56.34</v>
      </c>
      <c r="M9" s="59"/>
    </row>
    <row r="10" spans="1:13">
      <c r="A10" s="160">
        <v>45481</v>
      </c>
      <c r="B10" s="63">
        <v>97</v>
      </c>
      <c r="C10" s="64" t="s">
        <v>150</v>
      </c>
      <c r="D10" s="64" t="s">
        <v>148</v>
      </c>
      <c r="E10" s="161">
        <v>1</v>
      </c>
      <c r="G10" s="59"/>
      <c r="H10" s="62"/>
      <c r="M10" s="59"/>
    </row>
    <row r="11" spans="1:13">
      <c r="A11" s="160">
        <v>45483</v>
      </c>
      <c r="B11" s="63">
        <v>58</v>
      </c>
      <c r="C11" s="64" t="s">
        <v>146</v>
      </c>
      <c r="D11" s="64" t="s">
        <v>147</v>
      </c>
      <c r="E11" s="161">
        <v>4</v>
      </c>
      <c r="G11" s="59"/>
      <c r="H11" s="62">
        <v>3</v>
      </c>
      <c r="I11" s="58" t="s">
        <v>160</v>
      </c>
      <c r="M11" s="59"/>
    </row>
    <row r="12" spans="1:13">
      <c r="A12" s="160">
        <v>45484</v>
      </c>
      <c r="B12" s="63">
        <v>92</v>
      </c>
      <c r="C12" s="64" t="s">
        <v>138</v>
      </c>
      <c r="D12" s="64" t="s">
        <v>139</v>
      </c>
      <c r="E12" s="161">
        <v>2</v>
      </c>
      <c r="G12" s="59"/>
      <c r="H12" s="62"/>
      <c r="I12" s="58" t="s">
        <v>140</v>
      </c>
      <c r="J12" s="65">
        <f>+COUNTIFS(Tabla2[VENDEDOR],C11)</f>
        <v>73</v>
      </c>
      <c r="L12" s="58">
        <v>73</v>
      </c>
      <c r="M12" s="59"/>
    </row>
    <row r="13" spans="1:13">
      <c r="A13" s="160">
        <v>45486</v>
      </c>
      <c r="B13" s="63">
        <v>92</v>
      </c>
      <c r="C13" s="64" t="s">
        <v>151</v>
      </c>
      <c r="D13" s="64" t="s">
        <v>153</v>
      </c>
      <c r="E13" s="161">
        <v>2</v>
      </c>
      <c r="G13" s="59"/>
      <c r="H13" s="62"/>
      <c r="M13" s="59"/>
    </row>
    <row r="14" spans="1:13">
      <c r="A14" s="160">
        <v>45488</v>
      </c>
      <c r="B14" s="63">
        <v>18</v>
      </c>
      <c r="C14" s="64" t="s">
        <v>141</v>
      </c>
      <c r="D14" s="64" t="s">
        <v>144</v>
      </c>
      <c r="E14" s="161">
        <v>2</v>
      </c>
      <c r="G14" s="59"/>
      <c r="H14" s="62">
        <v>4</v>
      </c>
      <c r="I14" s="58" t="s">
        <v>161</v>
      </c>
      <c r="M14" s="59"/>
    </row>
    <row r="15" spans="1:13">
      <c r="A15" s="160">
        <v>45491</v>
      </c>
      <c r="B15" s="63">
        <v>45</v>
      </c>
      <c r="C15" s="64" t="s">
        <v>143</v>
      </c>
      <c r="D15" s="64" t="s">
        <v>142</v>
      </c>
      <c r="E15" s="161">
        <v>4</v>
      </c>
      <c r="G15" s="59"/>
      <c r="H15" s="62"/>
      <c r="I15" s="58" t="s">
        <v>140</v>
      </c>
      <c r="J15" s="65">
        <f>+COUNT(Tabla2[CANT])</f>
        <v>438</v>
      </c>
      <c r="L15" s="58">
        <v>438</v>
      </c>
      <c r="M15" s="59"/>
    </row>
    <row r="16" spans="1:13">
      <c r="A16" s="160">
        <v>45493</v>
      </c>
      <c r="B16" s="63">
        <v>48</v>
      </c>
      <c r="C16" s="64" t="s">
        <v>150</v>
      </c>
      <c r="D16" s="64" t="s">
        <v>156</v>
      </c>
      <c r="E16" s="161">
        <v>4</v>
      </c>
      <c r="G16" s="59"/>
      <c r="H16" s="62"/>
      <c r="M16" s="59"/>
    </row>
    <row r="17" spans="1:13">
      <c r="A17" s="160">
        <v>45494</v>
      </c>
      <c r="B17" s="63">
        <v>16</v>
      </c>
      <c r="C17" s="64" t="s">
        <v>146</v>
      </c>
      <c r="D17" s="64" t="s">
        <v>148</v>
      </c>
      <c r="E17" s="161">
        <v>1</v>
      </c>
      <c r="G17" s="59"/>
      <c r="H17" s="62">
        <v>5</v>
      </c>
      <c r="I17" s="58" t="s">
        <v>721</v>
      </c>
      <c r="M17" s="59"/>
    </row>
    <row r="18" spans="1:13">
      <c r="A18" s="160">
        <v>45496</v>
      </c>
      <c r="B18" s="63">
        <v>56</v>
      </c>
      <c r="C18" s="64" t="s">
        <v>138</v>
      </c>
      <c r="D18" s="64" t="s">
        <v>147</v>
      </c>
      <c r="E18" s="161">
        <v>3</v>
      </c>
      <c r="G18" s="59"/>
      <c r="H18" s="62"/>
      <c r="I18" s="58" t="s">
        <v>140</v>
      </c>
      <c r="J18" s="169">
        <f>+AVERAGEIFS(Tabla2[CANT],Tabla2[VENDEDOR],C10)</f>
        <v>49.863013698630134</v>
      </c>
      <c r="L18" s="58">
        <v>49.86</v>
      </c>
      <c r="M18" s="59"/>
    </row>
    <row r="19" spans="1:13">
      <c r="A19" s="160">
        <v>45496</v>
      </c>
      <c r="B19" s="63">
        <v>57</v>
      </c>
      <c r="C19" s="64" t="s">
        <v>151</v>
      </c>
      <c r="D19" s="64" t="s">
        <v>139</v>
      </c>
      <c r="E19" s="161">
        <v>2</v>
      </c>
      <c r="G19" s="59"/>
      <c r="H19" s="62"/>
      <c r="M19" s="59"/>
    </row>
    <row r="20" spans="1:13">
      <c r="A20" s="160">
        <v>45498</v>
      </c>
      <c r="B20" s="63">
        <v>50</v>
      </c>
      <c r="C20" s="64" t="s">
        <v>141</v>
      </c>
      <c r="D20" s="64" t="s">
        <v>153</v>
      </c>
      <c r="E20" s="161">
        <v>3</v>
      </c>
      <c r="G20" s="59"/>
      <c r="H20" s="62">
        <v>6</v>
      </c>
      <c r="I20" s="58" t="s">
        <v>162</v>
      </c>
      <c r="M20" s="59"/>
    </row>
    <row r="21" spans="1:13">
      <c r="A21" s="160">
        <v>45498</v>
      </c>
      <c r="B21" s="63">
        <v>80</v>
      </c>
      <c r="C21" s="64" t="s">
        <v>143</v>
      </c>
      <c r="D21" s="64" t="s">
        <v>144</v>
      </c>
      <c r="E21" s="161">
        <v>4</v>
      </c>
      <c r="G21" s="59"/>
      <c r="H21" s="62"/>
      <c r="I21" s="58" t="s">
        <v>140</v>
      </c>
      <c r="J21" s="65">
        <f>+COUNTIFS(Tabla2[ARTICULO],D10)</f>
        <v>62</v>
      </c>
      <c r="L21" s="58">
        <v>62</v>
      </c>
      <c r="M21" s="59"/>
    </row>
    <row r="22" spans="1:13">
      <c r="A22" s="160">
        <v>45499</v>
      </c>
      <c r="B22" s="63">
        <v>53</v>
      </c>
      <c r="C22" s="64" t="s">
        <v>150</v>
      </c>
      <c r="D22" s="64" t="s">
        <v>142</v>
      </c>
      <c r="E22" s="161">
        <v>2</v>
      </c>
      <c r="G22" s="59"/>
      <c r="H22" s="62"/>
      <c r="M22" s="59"/>
    </row>
    <row r="23" spans="1:13">
      <c r="A23" s="160">
        <v>45500</v>
      </c>
      <c r="B23" s="63">
        <v>90</v>
      </c>
      <c r="C23" s="64" t="s">
        <v>146</v>
      </c>
      <c r="D23" s="64" t="s">
        <v>156</v>
      </c>
      <c r="E23" s="161">
        <v>4</v>
      </c>
      <c r="G23" s="59"/>
      <c r="H23" s="62">
        <v>7</v>
      </c>
      <c r="I23" s="58" t="s">
        <v>163</v>
      </c>
      <c r="M23" s="59"/>
    </row>
    <row r="24" spans="1:13">
      <c r="A24" s="160">
        <v>45501</v>
      </c>
      <c r="B24" s="63">
        <v>45</v>
      </c>
      <c r="C24" s="64" t="s">
        <v>138</v>
      </c>
      <c r="D24" s="64" t="s">
        <v>148</v>
      </c>
      <c r="E24" s="161">
        <v>2</v>
      </c>
      <c r="G24" s="59"/>
      <c r="H24" s="62"/>
      <c r="I24" s="58" t="s">
        <v>140</v>
      </c>
      <c r="J24" s="65">
        <f>+COUNTIFS(Tabla2[VENDEDOR],C13)</f>
        <v>73</v>
      </c>
      <c r="L24" s="58">
        <v>73</v>
      </c>
      <c r="M24" s="59"/>
    </row>
    <row r="25" spans="1:13">
      <c r="A25" s="160">
        <v>45501</v>
      </c>
      <c r="B25" s="63">
        <v>42</v>
      </c>
      <c r="C25" s="64" t="s">
        <v>151</v>
      </c>
      <c r="D25" s="64" t="s">
        <v>147</v>
      </c>
      <c r="E25" s="161">
        <v>2</v>
      </c>
      <c r="G25" s="59"/>
      <c r="H25" s="62"/>
      <c r="M25" s="59"/>
    </row>
    <row r="26" spans="1:13">
      <c r="A26" s="160">
        <v>45503</v>
      </c>
      <c r="B26" s="63">
        <v>10</v>
      </c>
      <c r="C26" s="64" t="s">
        <v>141</v>
      </c>
      <c r="D26" s="64" t="s">
        <v>139</v>
      </c>
      <c r="E26" s="161">
        <v>2</v>
      </c>
      <c r="G26" s="59"/>
      <c r="H26" s="58">
        <v>8</v>
      </c>
      <c r="I26" s="58" t="s">
        <v>164</v>
      </c>
      <c r="M26" s="59"/>
    </row>
    <row r="27" spans="1:13">
      <c r="A27" s="160">
        <v>45504</v>
      </c>
      <c r="B27" s="63">
        <v>9</v>
      </c>
      <c r="C27" s="64" t="s">
        <v>143</v>
      </c>
      <c r="D27" s="64" t="s">
        <v>153</v>
      </c>
      <c r="E27" s="161">
        <v>2</v>
      </c>
      <c r="G27" s="59"/>
      <c r="I27" s="58" t="s">
        <v>1</v>
      </c>
      <c r="J27" s="65">
        <f>+COUNTIFS(Tabla2[VENDEDOR],C13,Tabla2[DPTO],E30)</f>
        <v>13</v>
      </c>
      <c r="K27" s="66" t="s">
        <v>165</v>
      </c>
      <c r="L27" s="58">
        <v>13</v>
      </c>
      <c r="M27" s="59"/>
    </row>
    <row r="28" spans="1:13">
      <c r="A28" s="160">
        <v>45505</v>
      </c>
      <c r="B28" s="63">
        <v>60</v>
      </c>
      <c r="C28" s="64" t="s">
        <v>150</v>
      </c>
      <c r="D28" s="64" t="s">
        <v>144</v>
      </c>
      <c r="E28" s="161">
        <v>1</v>
      </c>
      <c r="F28" s="59"/>
      <c r="G28" s="59"/>
      <c r="H28" s="59"/>
      <c r="I28" s="59"/>
      <c r="J28" s="59"/>
      <c r="K28" s="59"/>
      <c r="L28" s="59"/>
      <c r="M28" s="59"/>
    </row>
    <row r="29" spans="1:13">
      <c r="A29" s="160">
        <v>45505</v>
      </c>
      <c r="B29" s="63">
        <v>28</v>
      </c>
      <c r="C29" s="64" t="s">
        <v>146</v>
      </c>
      <c r="D29" s="64" t="s">
        <v>142</v>
      </c>
      <c r="E29" s="161">
        <v>1</v>
      </c>
    </row>
    <row r="30" spans="1:13">
      <c r="A30" s="160">
        <v>45506</v>
      </c>
      <c r="B30" s="63">
        <v>4</v>
      </c>
      <c r="C30" s="64" t="s">
        <v>138</v>
      </c>
      <c r="D30" s="64" t="s">
        <v>156</v>
      </c>
      <c r="E30" s="161">
        <v>3</v>
      </c>
    </row>
    <row r="31" spans="1:13">
      <c r="A31" s="160">
        <v>45507</v>
      </c>
      <c r="B31" s="63">
        <v>45</v>
      </c>
      <c r="C31" s="64" t="s">
        <v>151</v>
      </c>
      <c r="D31" s="64" t="s">
        <v>148</v>
      </c>
      <c r="E31" s="161">
        <v>1</v>
      </c>
    </row>
    <row r="32" spans="1:13">
      <c r="A32" s="160">
        <v>45507</v>
      </c>
      <c r="B32" s="63">
        <v>43</v>
      </c>
      <c r="C32" s="64" t="s">
        <v>141</v>
      </c>
      <c r="D32" s="64" t="s">
        <v>147</v>
      </c>
      <c r="E32" s="161">
        <v>2</v>
      </c>
    </row>
    <row r="33" spans="1:5">
      <c r="A33" s="160">
        <v>45508</v>
      </c>
      <c r="B33" s="63">
        <v>92</v>
      </c>
      <c r="C33" s="64" t="s">
        <v>143</v>
      </c>
      <c r="D33" s="64" t="s">
        <v>139</v>
      </c>
      <c r="E33" s="161">
        <v>2</v>
      </c>
    </row>
    <row r="34" spans="1:5">
      <c r="A34" s="160">
        <v>45513</v>
      </c>
      <c r="B34" s="63">
        <v>91</v>
      </c>
      <c r="C34" s="64" t="s">
        <v>150</v>
      </c>
      <c r="D34" s="64" t="s">
        <v>153</v>
      </c>
      <c r="E34" s="161">
        <v>2</v>
      </c>
    </row>
    <row r="35" spans="1:5">
      <c r="A35" s="160">
        <v>45515</v>
      </c>
      <c r="B35" s="63">
        <v>69</v>
      </c>
      <c r="C35" s="64" t="s">
        <v>146</v>
      </c>
      <c r="D35" s="64" t="s">
        <v>144</v>
      </c>
      <c r="E35" s="161">
        <v>1</v>
      </c>
    </row>
    <row r="36" spans="1:5">
      <c r="A36" s="160">
        <v>45515</v>
      </c>
      <c r="B36" s="63">
        <v>45</v>
      </c>
      <c r="C36" s="64" t="s">
        <v>138</v>
      </c>
      <c r="D36" s="64" t="s">
        <v>142</v>
      </c>
      <c r="E36" s="161">
        <v>2</v>
      </c>
    </row>
    <row r="37" spans="1:5">
      <c r="A37" s="160">
        <v>45519</v>
      </c>
      <c r="B37" s="63">
        <v>18</v>
      </c>
      <c r="C37" s="64" t="s">
        <v>151</v>
      </c>
      <c r="D37" s="64" t="s">
        <v>156</v>
      </c>
      <c r="E37" s="161">
        <v>3</v>
      </c>
    </row>
    <row r="38" spans="1:5">
      <c r="A38" s="160">
        <v>45521</v>
      </c>
      <c r="B38" s="63">
        <v>43</v>
      </c>
      <c r="C38" s="64" t="s">
        <v>141</v>
      </c>
      <c r="D38" s="64" t="s">
        <v>148</v>
      </c>
      <c r="E38" s="161">
        <v>2</v>
      </c>
    </row>
    <row r="39" spans="1:5">
      <c r="A39" s="160">
        <v>45521</v>
      </c>
      <c r="B39" s="63">
        <v>96</v>
      </c>
      <c r="C39" s="64" t="s">
        <v>143</v>
      </c>
      <c r="D39" s="64" t="s">
        <v>147</v>
      </c>
      <c r="E39" s="161">
        <v>3</v>
      </c>
    </row>
    <row r="40" spans="1:5">
      <c r="A40" s="160">
        <v>45522</v>
      </c>
      <c r="B40" s="63">
        <v>15</v>
      </c>
      <c r="C40" s="64" t="s">
        <v>150</v>
      </c>
      <c r="D40" s="64" t="s">
        <v>139</v>
      </c>
      <c r="E40" s="161">
        <v>4</v>
      </c>
    </row>
    <row r="41" spans="1:5">
      <c r="A41" s="160">
        <v>45523</v>
      </c>
      <c r="B41" s="63">
        <v>98</v>
      </c>
      <c r="C41" s="64" t="s">
        <v>146</v>
      </c>
      <c r="D41" s="64" t="s">
        <v>153</v>
      </c>
      <c r="E41" s="161">
        <v>4</v>
      </c>
    </row>
    <row r="42" spans="1:5">
      <c r="A42" s="160">
        <v>45524</v>
      </c>
      <c r="B42" s="63">
        <v>87</v>
      </c>
      <c r="C42" s="64" t="s">
        <v>138</v>
      </c>
      <c r="D42" s="64" t="s">
        <v>144</v>
      </c>
      <c r="E42" s="161">
        <v>3</v>
      </c>
    </row>
    <row r="43" spans="1:5">
      <c r="A43" s="160">
        <v>45526</v>
      </c>
      <c r="B43" s="63">
        <v>38</v>
      </c>
      <c r="C43" s="64" t="s">
        <v>151</v>
      </c>
      <c r="D43" s="64" t="s">
        <v>142</v>
      </c>
      <c r="E43" s="161">
        <v>3</v>
      </c>
    </row>
    <row r="44" spans="1:5">
      <c r="A44" s="160">
        <v>45526</v>
      </c>
      <c r="B44" s="63">
        <v>15</v>
      </c>
      <c r="C44" s="64" t="s">
        <v>141</v>
      </c>
      <c r="D44" s="64" t="s">
        <v>156</v>
      </c>
      <c r="E44" s="161">
        <v>4</v>
      </c>
    </row>
    <row r="45" spans="1:5">
      <c r="A45" s="160">
        <v>45527</v>
      </c>
      <c r="B45" s="63">
        <v>23</v>
      </c>
      <c r="C45" s="64" t="s">
        <v>143</v>
      </c>
      <c r="D45" s="64" t="s">
        <v>148</v>
      </c>
      <c r="E45" s="161">
        <v>1</v>
      </c>
    </row>
    <row r="46" spans="1:5">
      <c r="A46" s="160">
        <v>45528</v>
      </c>
      <c r="B46" s="63">
        <v>98</v>
      </c>
      <c r="C46" s="64" t="s">
        <v>150</v>
      </c>
      <c r="D46" s="64" t="s">
        <v>147</v>
      </c>
      <c r="E46" s="161">
        <v>4</v>
      </c>
    </row>
    <row r="47" spans="1:5">
      <c r="A47" s="160">
        <v>45528</v>
      </c>
      <c r="B47" s="63">
        <v>41</v>
      </c>
      <c r="C47" s="64" t="s">
        <v>146</v>
      </c>
      <c r="D47" s="64" t="s">
        <v>139</v>
      </c>
      <c r="E47" s="161">
        <v>1</v>
      </c>
    </row>
    <row r="48" spans="1:5">
      <c r="A48" s="160">
        <v>45528</v>
      </c>
      <c r="B48" s="63">
        <v>89</v>
      </c>
      <c r="C48" s="64" t="s">
        <v>138</v>
      </c>
      <c r="D48" s="64" t="s">
        <v>153</v>
      </c>
      <c r="E48" s="161">
        <v>2</v>
      </c>
    </row>
    <row r="49" spans="1:5">
      <c r="A49" s="160">
        <v>45530</v>
      </c>
      <c r="B49" s="63">
        <v>76</v>
      </c>
      <c r="C49" s="64" t="s">
        <v>151</v>
      </c>
      <c r="D49" s="64" t="s">
        <v>144</v>
      </c>
      <c r="E49" s="161">
        <v>2</v>
      </c>
    </row>
    <row r="50" spans="1:5">
      <c r="A50" s="160">
        <v>45531</v>
      </c>
      <c r="B50" s="63">
        <v>22</v>
      </c>
      <c r="C50" s="64" t="s">
        <v>141</v>
      </c>
      <c r="D50" s="64" t="s">
        <v>142</v>
      </c>
      <c r="E50" s="161">
        <v>2</v>
      </c>
    </row>
    <row r="51" spans="1:5">
      <c r="A51" s="160">
        <v>45532</v>
      </c>
      <c r="B51" s="63">
        <v>49</v>
      </c>
      <c r="C51" s="64" t="s">
        <v>143</v>
      </c>
      <c r="D51" s="64" t="s">
        <v>156</v>
      </c>
      <c r="E51" s="161">
        <v>3</v>
      </c>
    </row>
    <row r="52" spans="1:5">
      <c r="A52" s="160">
        <v>45533</v>
      </c>
      <c r="B52" s="63">
        <v>98</v>
      </c>
      <c r="C52" s="64" t="s">
        <v>150</v>
      </c>
      <c r="D52" s="64" t="s">
        <v>148</v>
      </c>
      <c r="E52" s="161">
        <v>3</v>
      </c>
    </row>
    <row r="53" spans="1:5">
      <c r="A53" s="160">
        <v>45535</v>
      </c>
      <c r="B53" s="63">
        <v>83</v>
      </c>
      <c r="C53" s="64" t="s">
        <v>146</v>
      </c>
      <c r="D53" s="64" t="s">
        <v>147</v>
      </c>
      <c r="E53" s="161">
        <v>3</v>
      </c>
    </row>
    <row r="54" spans="1:5">
      <c r="A54" s="160">
        <v>45537</v>
      </c>
      <c r="B54" s="63">
        <v>16</v>
      </c>
      <c r="C54" s="64" t="s">
        <v>138</v>
      </c>
      <c r="D54" s="64" t="s">
        <v>139</v>
      </c>
      <c r="E54" s="161">
        <v>2</v>
      </c>
    </row>
    <row r="55" spans="1:5">
      <c r="A55" s="160">
        <v>45537</v>
      </c>
      <c r="B55" s="63">
        <v>1</v>
      </c>
      <c r="C55" s="64" t="s">
        <v>151</v>
      </c>
      <c r="D55" s="64" t="s">
        <v>153</v>
      </c>
      <c r="E55" s="161">
        <v>3</v>
      </c>
    </row>
    <row r="56" spans="1:5">
      <c r="A56" s="160">
        <v>45538</v>
      </c>
      <c r="B56" s="63">
        <v>97</v>
      </c>
      <c r="C56" s="64" t="s">
        <v>141</v>
      </c>
      <c r="D56" s="64" t="s">
        <v>144</v>
      </c>
      <c r="E56" s="161">
        <v>3</v>
      </c>
    </row>
    <row r="57" spans="1:5">
      <c r="A57" s="160">
        <v>45539</v>
      </c>
      <c r="B57" s="63">
        <v>4</v>
      </c>
      <c r="C57" s="64" t="s">
        <v>143</v>
      </c>
      <c r="D57" s="64" t="s">
        <v>142</v>
      </c>
      <c r="E57" s="161">
        <v>3</v>
      </c>
    </row>
    <row r="58" spans="1:5">
      <c r="A58" s="160">
        <v>45539</v>
      </c>
      <c r="B58" s="63">
        <v>52</v>
      </c>
      <c r="C58" s="64" t="s">
        <v>150</v>
      </c>
      <c r="D58" s="64" t="s">
        <v>156</v>
      </c>
      <c r="E58" s="161">
        <v>3</v>
      </c>
    </row>
    <row r="59" spans="1:5">
      <c r="A59" s="160">
        <v>45540</v>
      </c>
      <c r="B59" s="63">
        <v>81</v>
      </c>
      <c r="C59" s="64" t="s">
        <v>146</v>
      </c>
      <c r="D59" s="64" t="s">
        <v>148</v>
      </c>
      <c r="E59" s="161">
        <v>2</v>
      </c>
    </row>
    <row r="60" spans="1:5">
      <c r="A60" s="160">
        <v>45541</v>
      </c>
      <c r="B60" s="63">
        <v>68</v>
      </c>
      <c r="C60" s="64" t="s">
        <v>138</v>
      </c>
      <c r="D60" s="64" t="s">
        <v>147</v>
      </c>
      <c r="E60" s="161">
        <v>1</v>
      </c>
    </row>
    <row r="61" spans="1:5">
      <c r="A61" s="160">
        <v>45541</v>
      </c>
      <c r="B61" s="63">
        <v>66</v>
      </c>
      <c r="C61" s="64" t="s">
        <v>151</v>
      </c>
      <c r="D61" s="64" t="s">
        <v>139</v>
      </c>
      <c r="E61" s="161">
        <v>2</v>
      </c>
    </row>
    <row r="62" spans="1:5">
      <c r="A62" s="160">
        <v>45544</v>
      </c>
      <c r="B62" s="63">
        <v>46</v>
      </c>
      <c r="C62" s="64" t="s">
        <v>141</v>
      </c>
      <c r="D62" s="64" t="s">
        <v>153</v>
      </c>
      <c r="E62" s="161">
        <v>4</v>
      </c>
    </row>
    <row r="63" spans="1:5">
      <c r="A63" s="160">
        <v>45544</v>
      </c>
      <c r="B63" s="63">
        <v>61</v>
      </c>
      <c r="C63" s="64" t="s">
        <v>143</v>
      </c>
      <c r="D63" s="64" t="s">
        <v>144</v>
      </c>
      <c r="E63" s="161">
        <v>2</v>
      </c>
    </row>
    <row r="64" spans="1:5">
      <c r="A64" s="160">
        <v>45545</v>
      </c>
      <c r="B64" s="63">
        <v>47</v>
      </c>
      <c r="C64" s="64" t="s">
        <v>150</v>
      </c>
      <c r="D64" s="64" t="s">
        <v>142</v>
      </c>
      <c r="E64" s="161">
        <v>3</v>
      </c>
    </row>
    <row r="65" spans="1:5">
      <c r="A65" s="160">
        <v>45546</v>
      </c>
      <c r="B65" s="63">
        <v>38</v>
      </c>
      <c r="C65" s="64" t="s">
        <v>146</v>
      </c>
      <c r="D65" s="64" t="s">
        <v>156</v>
      </c>
      <c r="E65" s="161">
        <v>3</v>
      </c>
    </row>
    <row r="66" spans="1:5">
      <c r="A66" s="160">
        <v>45552</v>
      </c>
      <c r="B66" s="63">
        <v>95</v>
      </c>
      <c r="C66" s="64" t="s">
        <v>138</v>
      </c>
      <c r="D66" s="64" t="s">
        <v>148</v>
      </c>
      <c r="E66" s="161">
        <v>3</v>
      </c>
    </row>
    <row r="67" spans="1:5">
      <c r="A67" s="160">
        <v>45552</v>
      </c>
      <c r="B67" s="63">
        <v>23</v>
      </c>
      <c r="C67" s="64" t="s">
        <v>151</v>
      </c>
      <c r="D67" s="64" t="s">
        <v>147</v>
      </c>
      <c r="E67" s="161">
        <v>3</v>
      </c>
    </row>
    <row r="68" spans="1:5">
      <c r="A68" s="160">
        <v>45553</v>
      </c>
      <c r="B68" s="63">
        <v>78</v>
      </c>
      <c r="C68" s="64" t="s">
        <v>141</v>
      </c>
      <c r="D68" s="64" t="s">
        <v>139</v>
      </c>
      <c r="E68" s="161">
        <v>3</v>
      </c>
    </row>
    <row r="69" spans="1:5">
      <c r="A69" s="160">
        <v>45554</v>
      </c>
      <c r="B69" s="63">
        <v>3</v>
      </c>
      <c r="C69" s="64" t="s">
        <v>143</v>
      </c>
      <c r="D69" s="64" t="s">
        <v>153</v>
      </c>
      <c r="E69" s="161">
        <v>1</v>
      </c>
    </row>
    <row r="70" spans="1:5">
      <c r="A70" s="160">
        <v>45554</v>
      </c>
      <c r="B70" s="63">
        <v>38</v>
      </c>
      <c r="C70" s="64" t="s">
        <v>150</v>
      </c>
      <c r="D70" s="64" t="s">
        <v>144</v>
      </c>
      <c r="E70" s="161">
        <v>2</v>
      </c>
    </row>
    <row r="71" spans="1:5">
      <c r="A71" s="160">
        <v>45554</v>
      </c>
      <c r="B71" s="63">
        <v>73</v>
      </c>
      <c r="C71" s="64" t="s">
        <v>146</v>
      </c>
      <c r="D71" s="64" t="s">
        <v>142</v>
      </c>
      <c r="E71" s="161">
        <v>2</v>
      </c>
    </row>
    <row r="72" spans="1:5">
      <c r="A72" s="160">
        <v>45554</v>
      </c>
      <c r="B72" s="63">
        <v>18</v>
      </c>
      <c r="C72" s="64" t="s">
        <v>138</v>
      </c>
      <c r="D72" s="64" t="s">
        <v>156</v>
      </c>
      <c r="E72" s="161">
        <v>1</v>
      </c>
    </row>
    <row r="73" spans="1:5">
      <c r="A73" s="160">
        <v>45554</v>
      </c>
      <c r="B73" s="63">
        <v>88</v>
      </c>
      <c r="C73" s="64" t="s">
        <v>151</v>
      </c>
      <c r="D73" s="64" t="s">
        <v>148</v>
      </c>
      <c r="E73" s="161">
        <v>1</v>
      </c>
    </row>
    <row r="74" spans="1:5">
      <c r="A74" s="160">
        <v>45555</v>
      </c>
      <c r="B74" s="63">
        <v>36</v>
      </c>
      <c r="C74" s="64" t="s">
        <v>141</v>
      </c>
      <c r="D74" s="64" t="s">
        <v>147</v>
      </c>
      <c r="E74" s="161">
        <v>4</v>
      </c>
    </row>
    <row r="75" spans="1:5">
      <c r="A75" s="160">
        <v>45556</v>
      </c>
      <c r="B75" s="63">
        <v>76</v>
      </c>
      <c r="C75" s="64" t="s">
        <v>143</v>
      </c>
      <c r="D75" s="64" t="s">
        <v>139</v>
      </c>
      <c r="E75" s="161">
        <v>2</v>
      </c>
    </row>
    <row r="76" spans="1:5">
      <c r="A76" s="160">
        <v>45557</v>
      </c>
      <c r="B76" s="63">
        <v>24</v>
      </c>
      <c r="C76" s="64" t="s">
        <v>150</v>
      </c>
      <c r="D76" s="64" t="s">
        <v>153</v>
      </c>
      <c r="E76" s="161">
        <v>1</v>
      </c>
    </row>
    <row r="77" spans="1:5">
      <c r="A77" s="160">
        <v>45559</v>
      </c>
      <c r="B77" s="63">
        <v>35</v>
      </c>
      <c r="C77" s="64" t="s">
        <v>146</v>
      </c>
      <c r="D77" s="64" t="s">
        <v>144</v>
      </c>
      <c r="E77" s="161">
        <v>1</v>
      </c>
    </row>
    <row r="78" spans="1:5">
      <c r="A78" s="160">
        <v>45560</v>
      </c>
      <c r="B78" s="63">
        <v>58</v>
      </c>
      <c r="C78" s="64" t="s">
        <v>138</v>
      </c>
      <c r="D78" s="64" t="s">
        <v>142</v>
      </c>
      <c r="E78" s="161">
        <v>4</v>
      </c>
    </row>
    <row r="79" spans="1:5">
      <c r="A79" s="160">
        <v>45560</v>
      </c>
      <c r="B79" s="63">
        <v>36</v>
      </c>
      <c r="C79" s="64" t="s">
        <v>151</v>
      </c>
      <c r="D79" s="64" t="s">
        <v>156</v>
      </c>
      <c r="E79" s="161">
        <v>4</v>
      </c>
    </row>
    <row r="80" spans="1:5">
      <c r="A80" s="160">
        <v>45562</v>
      </c>
      <c r="B80" s="63">
        <v>21</v>
      </c>
      <c r="C80" s="64" t="s">
        <v>141</v>
      </c>
      <c r="D80" s="64" t="s">
        <v>148</v>
      </c>
      <c r="E80" s="161">
        <v>4</v>
      </c>
    </row>
    <row r="81" spans="1:5">
      <c r="A81" s="160">
        <v>45564</v>
      </c>
      <c r="B81" s="63">
        <v>63</v>
      </c>
      <c r="C81" s="64" t="s">
        <v>143</v>
      </c>
      <c r="D81" s="64" t="s">
        <v>147</v>
      </c>
      <c r="E81" s="161">
        <v>1</v>
      </c>
    </row>
    <row r="82" spans="1:5">
      <c r="A82" s="160">
        <v>45567</v>
      </c>
      <c r="B82" s="63">
        <v>96</v>
      </c>
      <c r="C82" s="64" t="s">
        <v>150</v>
      </c>
      <c r="D82" s="64" t="s">
        <v>139</v>
      </c>
      <c r="E82" s="161">
        <v>1</v>
      </c>
    </row>
    <row r="83" spans="1:5">
      <c r="A83" s="160">
        <v>45568</v>
      </c>
      <c r="B83" s="63">
        <v>14</v>
      </c>
      <c r="C83" s="64" t="s">
        <v>146</v>
      </c>
      <c r="D83" s="64" t="s">
        <v>153</v>
      </c>
      <c r="E83" s="161">
        <v>3</v>
      </c>
    </row>
    <row r="84" spans="1:5">
      <c r="A84" s="160">
        <v>45569</v>
      </c>
      <c r="B84" s="63">
        <v>68</v>
      </c>
      <c r="C84" s="64" t="s">
        <v>138</v>
      </c>
      <c r="D84" s="64" t="s">
        <v>144</v>
      </c>
      <c r="E84" s="161">
        <v>3</v>
      </c>
    </row>
    <row r="85" spans="1:5">
      <c r="A85" s="160">
        <v>45570</v>
      </c>
      <c r="B85" s="63">
        <v>29</v>
      </c>
      <c r="C85" s="64" t="s">
        <v>151</v>
      </c>
      <c r="D85" s="64" t="s">
        <v>142</v>
      </c>
      <c r="E85" s="161">
        <v>4</v>
      </c>
    </row>
    <row r="86" spans="1:5">
      <c r="A86" s="160">
        <v>45570</v>
      </c>
      <c r="B86" s="63">
        <v>28</v>
      </c>
      <c r="C86" s="64" t="s">
        <v>141</v>
      </c>
      <c r="D86" s="64" t="s">
        <v>156</v>
      </c>
      <c r="E86" s="161">
        <v>3</v>
      </c>
    </row>
    <row r="87" spans="1:5">
      <c r="A87" s="160">
        <v>45570</v>
      </c>
      <c r="B87" s="63">
        <v>87</v>
      </c>
      <c r="C87" s="64" t="s">
        <v>143</v>
      </c>
      <c r="D87" s="64" t="s">
        <v>148</v>
      </c>
      <c r="E87" s="161">
        <v>1</v>
      </c>
    </row>
    <row r="88" spans="1:5">
      <c r="A88" s="160">
        <v>45573</v>
      </c>
      <c r="B88" s="63">
        <v>14</v>
      </c>
      <c r="C88" s="64" t="s">
        <v>150</v>
      </c>
      <c r="D88" s="64" t="s">
        <v>147</v>
      </c>
      <c r="E88" s="161">
        <v>3</v>
      </c>
    </row>
    <row r="89" spans="1:5">
      <c r="A89" s="160">
        <v>45575</v>
      </c>
      <c r="B89" s="63">
        <v>64</v>
      </c>
      <c r="C89" s="64" t="s">
        <v>146</v>
      </c>
      <c r="D89" s="64" t="s">
        <v>139</v>
      </c>
      <c r="E89" s="161">
        <v>4</v>
      </c>
    </row>
    <row r="90" spans="1:5">
      <c r="A90" s="160">
        <v>45576</v>
      </c>
      <c r="B90" s="63">
        <v>19</v>
      </c>
      <c r="C90" s="64" t="s">
        <v>138</v>
      </c>
      <c r="D90" s="64" t="s">
        <v>153</v>
      </c>
      <c r="E90" s="161">
        <v>2</v>
      </c>
    </row>
    <row r="91" spans="1:5">
      <c r="A91" s="160">
        <v>45576</v>
      </c>
      <c r="B91" s="63">
        <v>55</v>
      </c>
      <c r="C91" s="64" t="s">
        <v>151</v>
      </c>
      <c r="D91" s="64" t="s">
        <v>144</v>
      </c>
      <c r="E91" s="161">
        <v>2</v>
      </c>
    </row>
    <row r="92" spans="1:5">
      <c r="A92" s="160">
        <v>45579</v>
      </c>
      <c r="B92" s="63">
        <v>52</v>
      </c>
      <c r="C92" s="64" t="s">
        <v>141</v>
      </c>
      <c r="D92" s="64" t="s">
        <v>142</v>
      </c>
      <c r="E92" s="161">
        <v>3</v>
      </c>
    </row>
    <row r="93" spans="1:5">
      <c r="A93" s="160">
        <v>45581</v>
      </c>
      <c r="B93" s="63">
        <v>25</v>
      </c>
      <c r="C93" s="64" t="s">
        <v>143</v>
      </c>
      <c r="D93" s="64" t="s">
        <v>156</v>
      </c>
      <c r="E93" s="161">
        <v>2</v>
      </c>
    </row>
    <row r="94" spans="1:5">
      <c r="A94" s="160">
        <v>45581</v>
      </c>
      <c r="B94" s="63">
        <v>99</v>
      </c>
      <c r="C94" s="64" t="s">
        <v>150</v>
      </c>
      <c r="D94" s="64" t="s">
        <v>148</v>
      </c>
      <c r="E94" s="161">
        <v>4</v>
      </c>
    </row>
    <row r="95" spans="1:5">
      <c r="A95" s="160">
        <v>45583</v>
      </c>
      <c r="B95" s="63">
        <v>28</v>
      </c>
      <c r="C95" s="64" t="s">
        <v>146</v>
      </c>
      <c r="D95" s="64" t="s">
        <v>147</v>
      </c>
      <c r="E95" s="161">
        <v>3</v>
      </c>
    </row>
    <row r="96" spans="1:5">
      <c r="A96" s="160">
        <v>45585</v>
      </c>
      <c r="B96" s="63">
        <v>44</v>
      </c>
      <c r="C96" s="64" t="s">
        <v>138</v>
      </c>
      <c r="D96" s="64" t="s">
        <v>139</v>
      </c>
      <c r="E96" s="161">
        <v>4</v>
      </c>
    </row>
    <row r="97" spans="1:5">
      <c r="A97" s="160">
        <v>45585</v>
      </c>
      <c r="B97" s="63">
        <v>33</v>
      </c>
      <c r="C97" s="64" t="s">
        <v>151</v>
      </c>
      <c r="D97" s="64" t="s">
        <v>153</v>
      </c>
      <c r="E97" s="161">
        <v>1</v>
      </c>
    </row>
    <row r="98" spans="1:5">
      <c r="A98" s="160">
        <v>45586</v>
      </c>
      <c r="B98" s="63">
        <v>89</v>
      </c>
      <c r="C98" s="64" t="s">
        <v>141</v>
      </c>
      <c r="D98" s="64" t="s">
        <v>144</v>
      </c>
      <c r="E98" s="161">
        <v>1</v>
      </c>
    </row>
    <row r="99" spans="1:5">
      <c r="A99" s="160">
        <v>45587</v>
      </c>
      <c r="B99" s="63">
        <v>7</v>
      </c>
      <c r="C99" s="64" t="s">
        <v>143</v>
      </c>
      <c r="D99" s="64" t="s">
        <v>142</v>
      </c>
      <c r="E99" s="161">
        <v>2</v>
      </c>
    </row>
    <row r="100" spans="1:5">
      <c r="A100" s="160">
        <v>45588</v>
      </c>
      <c r="B100" s="63">
        <v>70</v>
      </c>
      <c r="C100" s="64" t="s">
        <v>150</v>
      </c>
      <c r="D100" s="64" t="s">
        <v>156</v>
      </c>
      <c r="E100" s="161">
        <v>2</v>
      </c>
    </row>
    <row r="101" spans="1:5">
      <c r="A101" s="160">
        <v>45590</v>
      </c>
      <c r="B101" s="63">
        <v>95</v>
      </c>
      <c r="C101" s="64" t="s">
        <v>146</v>
      </c>
      <c r="D101" s="64" t="s">
        <v>148</v>
      </c>
      <c r="E101" s="161">
        <v>1</v>
      </c>
    </row>
    <row r="102" spans="1:5">
      <c r="A102" s="160">
        <v>45591</v>
      </c>
      <c r="B102" s="63">
        <v>57</v>
      </c>
      <c r="C102" s="64" t="s">
        <v>138</v>
      </c>
      <c r="D102" s="64" t="s">
        <v>147</v>
      </c>
      <c r="E102" s="161">
        <v>1</v>
      </c>
    </row>
    <row r="103" spans="1:5">
      <c r="A103" s="160">
        <v>45592</v>
      </c>
      <c r="B103" s="63">
        <v>79</v>
      </c>
      <c r="C103" s="64" t="s">
        <v>151</v>
      </c>
      <c r="D103" s="64" t="s">
        <v>139</v>
      </c>
      <c r="E103" s="161">
        <v>3</v>
      </c>
    </row>
    <row r="104" spans="1:5">
      <c r="A104" s="160">
        <v>45593</v>
      </c>
      <c r="B104" s="63">
        <v>97</v>
      </c>
      <c r="C104" s="64" t="s">
        <v>141</v>
      </c>
      <c r="D104" s="64" t="s">
        <v>153</v>
      </c>
      <c r="E104" s="161">
        <v>3</v>
      </c>
    </row>
    <row r="105" spans="1:5">
      <c r="A105" s="160">
        <v>45594</v>
      </c>
      <c r="B105" s="63">
        <v>80</v>
      </c>
      <c r="C105" s="64" t="s">
        <v>143</v>
      </c>
      <c r="D105" s="64" t="s">
        <v>144</v>
      </c>
      <c r="E105" s="161">
        <v>4</v>
      </c>
    </row>
    <row r="106" spans="1:5">
      <c r="A106" s="160">
        <v>45594</v>
      </c>
      <c r="B106" s="63">
        <v>56</v>
      </c>
      <c r="C106" s="64" t="s">
        <v>150</v>
      </c>
      <c r="D106" s="64" t="s">
        <v>142</v>
      </c>
      <c r="E106" s="161">
        <v>3</v>
      </c>
    </row>
    <row r="107" spans="1:5">
      <c r="A107" s="160">
        <v>45594</v>
      </c>
      <c r="B107" s="63">
        <v>56</v>
      </c>
      <c r="C107" s="64" t="s">
        <v>146</v>
      </c>
      <c r="D107" s="64" t="s">
        <v>156</v>
      </c>
      <c r="E107" s="161">
        <v>3</v>
      </c>
    </row>
    <row r="108" spans="1:5">
      <c r="A108" s="160">
        <v>45595</v>
      </c>
      <c r="B108" s="63">
        <v>16</v>
      </c>
      <c r="C108" s="64" t="s">
        <v>138</v>
      </c>
      <c r="D108" s="64" t="s">
        <v>148</v>
      </c>
      <c r="E108" s="161">
        <v>1</v>
      </c>
    </row>
    <row r="109" spans="1:5">
      <c r="A109" s="160">
        <v>45595</v>
      </c>
      <c r="B109" s="63">
        <v>47</v>
      </c>
      <c r="C109" s="64" t="s">
        <v>151</v>
      </c>
      <c r="D109" s="64" t="s">
        <v>147</v>
      </c>
      <c r="E109" s="161">
        <v>4</v>
      </c>
    </row>
    <row r="110" spans="1:5">
      <c r="A110" s="160">
        <v>45595</v>
      </c>
      <c r="B110" s="63">
        <v>43</v>
      </c>
      <c r="C110" s="64" t="s">
        <v>141</v>
      </c>
      <c r="D110" s="64" t="s">
        <v>139</v>
      </c>
      <c r="E110" s="161">
        <v>2</v>
      </c>
    </row>
    <row r="111" spans="1:5">
      <c r="A111" s="160">
        <v>45595</v>
      </c>
      <c r="B111" s="63">
        <v>70</v>
      </c>
      <c r="C111" s="64" t="s">
        <v>143</v>
      </c>
      <c r="D111" s="64" t="s">
        <v>153</v>
      </c>
      <c r="E111" s="161">
        <v>3</v>
      </c>
    </row>
    <row r="112" spans="1:5">
      <c r="A112" s="160">
        <v>45596</v>
      </c>
      <c r="B112" s="63">
        <v>67</v>
      </c>
      <c r="C112" s="64" t="s">
        <v>150</v>
      </c>
      <c r="D112" s="64" t="s">
        <v>144</v>
      </c>
      <c r="E112" s="161">
        <v>4</v>
      </c>
    </row>
    <row r="113" spans="1:5">
      <c r="A113" s="160">
        <v>45597</v>
      </c>
      <c r="B113" s="63">
        <v>59</v>
      </c>
      <c r="C113" s="64" t="s">
        <v>146</v>
      </c>
      <c r="D113" s="64" t="s">
        <v>142</v>
      </c>
      <c r="E113" s="161">
        <v>2</v>
      </c>
    </row>
    <row r="114" spans="1:5">
      <c r="A114" s="160">
        <v>45597</v>
      </c>
      <c r="B114" s="63">
        <v>84</v>
      </c>
      <c r="C114" s="64" t="s">
        <v>138</v>
      </c>
      <c r="D114" s="64" t="s">
        <v>156</v>
      </c>
      <c r="E114" s="161">
        <v>3</v>
      </c>
    </row>
    <row r="115" spans="1:5">
      <c r="A115" s="160">
        <v>45598</v>
      </c>
      <c r="B115" s="63">
        <v>96</v>
      </c>
      <c r="C115" s="64" t="s">
        <v>151</v>
      </c>
      <c r="D115" s="64" t="s">
        <v>148</v>
      </c>
      <c r="E115" s="161">
        <v>3</v>
      </c>
    </row>
    <row r="116" spans="1:5">
      <c r="A116" s="160">
        <v>45598</v>
      </c>
      <c r="B116" s="63">
        <v>62</v>
      </c>
      <c r="C116" s="64" t="s">
        <v>141</v>
      </c>
      <c r="D116" s="64" t="s">
        <v>147</v>
      </c>
      <c r="E116" s="161">
        <v>4</v>
      </c>
    </row>
    <row r="117" spans="1:5">
      <c r="A117" s="160">
        <v>45602</v>
      </c>
      <c r="B117" s="63">
        <v>69</v>
      </c>
      <c r="C117" s="64" t="s">
        <v>143</v>
      </c>
      <c r="D117" s="64" t="s">
        <v>139</v>
      </c>
      <c r="E117" s="161">
        <v>2</v>
      </c>
    </row>
    <row r="118" spans="1:5">
      <c r="A118" s="160">
        <v>45602</v>
      </c>
      <c r="B118" s="63">
        <v>7</v>
      </c>
      <c r="C118" s="64" t="s">
        <v>150</v>
      </c>
      <c r="D118" s="64" t="s">
        <v>153</v>
      </c>
      <c r="E118" s="161">
        <v>1</v>
      </c>
    </row>
    <row r="119" spans="1:5">
      <c r="A119" s="160">
        <v>45603</v>
      </c>
      <c r="B119" s="63">
        <v>58</v>
      </c>
      <c r="C119" s="64" t="s">
        <v>146</v>
      </c>
      <c r="D119" s="64" t="s">
        <v>144</v>
      </c>
      <c r="E119" s="161">
        <v>1</v>
      </c>
    </row>
    <row r="120" spans="1:5">
      <c r="A120" s="160">
        <v>45604</v>
      </c>
      <c r="B120" s="63">
        <v>56</v>
      </c>
      <c r="C120" s="64" t="s">
        <v>138</v>
      </c>
      <c r="D120" s="64" t="s">
        <v>142</v>
      </c>
      <c r="E120" s="161">
        <v>3</v>
      </c>
    </row>
    <row r="121" spans="1:5">
      <c r="A121" s="160">
        <v>45605</v>
      </c>
      <c r="B121" s="63">
        <v>86</v>
      </c>
      <c r="C121" s="64" t="s">
        <v>151</v>
      </c>
      <c r="D121" s="64" t="s">
        <v>156</v>
      </c>
      <c r="E121" s="161">
        <v>1</v>
      </c>
    </row>
    <row r="122" spans="1:5">
      <c r="A122" s="160">
        <v>45606</v>
      </c>
      <c r="B122" s="63">
        <v>75</v>
      </c>
      <c r="C122" s="64" t="s">
        <v>141</v>
      </c>
      <c r="D122" s="64" t="s">
        <v>148</v>
      </c>
      <c r="E122" s="161">
        <v>3</v>
      </c>
    </row>
    <row r="123" spans="1:5">
      <c r="A123" s="160">
        <v>45607</v>
      </c>
      <c r="B123" s="63">
        <v>36</v>
      </c>
      <c r="C123" s="64" t="s">
        <v>143</v>
      </c>
      <c r="D123" s="64" t="s">
        <v>147</v>
      </c>
      <c r="E123" s="161">
        <v>3</v>
      </c>
    </row>
    <row r="124" spans="1:5">
      <c r="A124" s="160">
        <v>45607</v>
      </c>
      <c r="B124" s="63">
        <v>1</v>
      </c>
      <c r="C124" s="64" t="s">
        <v>150</v>
      </c>
      <c r="D124" s="64" t="s">
        <v>139</v>
      </c>
      <c r="E124" s="161">
        <v>4</v>
      </c>
    </row>
    <row r="125" spans="1:5">
      <c r="A125" s="160">
        <v>45607</v>
      </c>
      <c r="B125" s="63">
        <v>63</v>
      </c>
      <c r="C125" s="64" t="s">
        <v>146</v>
      </c>
      <c r="D125" s="64" t="s">
        <v>153</v>
      </c>
      <c r="E125" s="161">
        <v>2</v>
      </c>
    </row>
    <row r="126" spans="1:5">
      <c r="A126" s="160">
        <v>45608</v>
      </c>
      <c r="B126" s="63">
        <v>20</v>
      </c>
      <c r="C126" s="64" t="s">
        <v>138</v>
      </c>
      <c r="D126" s="64" t="s">
        <v>144</v>
      </c>
      <c r="E126" s="161">
        <v>2</v>
      </c>
    </row>
    <row r="127" spans="1:5">
      <c r="A127" s="160">
        <v>45608</v>
      </c>
      <c r="B127" s="63">
        <v>84</v>
      </c>
      <c r="C127" s="64" t="s">
        <v>151</v>
      </c>
      <c r="D127" s="64" t="s">
        <v>142</v>
      </c>
      <c r="E127" s="161">
        <v>1</v>
      </c>
    </row>
    <row r="128" spans="1:5">
      <c r="A128" s="160">
        <v>45609</v>
      </c>
      <c r="B128" s="63">
        <v>87</v>
      </c>
      <c r="C128" s="64" t="s">
        <v>141</v>
      </c>
      <c r="D128" s="64" t="s">
        <v>156</v>
      </c>
      <c r="E128" s="161">
        <v>4</v>
      </c>
    </row>
    <row r="129" spans="1:5">
      <c r="A129" s="160">
        <v>45609</v>
      </c>
      <c r="B129" s="63">
        <v>14</v>
      </c>
      <c r="C129" s="64" t="s">
        <v>143</v>
      </c>
      <c r="D129" s="64" t="s">
        <v>148</v>
      </c>
      <c r="E129" s="161">
        <v>4</v>
      </c>
    </row>
    <row r="130" spans="1:5">
      <c r="A130" s="160">
        <v>45610</v>
      </c>
      <c r="B130" s="63">
        <v>39</v>
      </c>
      <c r="C130" s="64" t="s">
        <v>150</v>
      </c>
      <c r="D130" s="64" t="s">
        <v>147</v>
      </c>
      <c r="E130" s="161">
        <v>4</v>
      </c>
    </row>
    <row r="131" spans="1:5">
      <c r="A131" s="160">
        <v>45611</v>
      </c>
      <c r="B131" s="63">
        <v>29</v>
      </c>
      <c r="C131" s="64" t="s">
        <v>146</v>
      </c>
      <c r="D131" s="64" t="s">
        <v>139</v>
      </c>
      <c r="E131" s="161">
        <v>4</v>
      </c>
    </row>
    <row r="132" spans="1:5">
      <c r="A132" s="160">
        <v>45612</v>
      </c>
      <c r="B132" s="63">
        <v>49</v>
      </c>
      <c r="C132" s="64" t="s">
        <v>138</v>
      </c>
      <c r="D132" s="64" t="s">
        <v>153</v>
      </c>
      <c r="E132" s="161">
        <v>2</v>
      </c>
    </row>
    <row r="133" spans="1:5">
      <c r="A133" s="160">
        <v>45612</v>
      </c>
      <c r="B133" s="63">
        <v>90</v>
      </c>
      <c r="C133" s="64" t="s">
        <v>151</v>
      </c>
      <c r="D133" s="64" t="s">
        <v>144</v>
      </c>
      <c r="E133" s="161">
        <v>1</v>
      </c>
    </row>
    <row r="134" spans="1:5">
      <c r="A134" s="160">
        <v>45613</v>
      </c>
      <c r="B134" s="63">
        <v>24</v>
      </c>
      <c r="C134" s="64" t="s">
        <v>141</v>
      </c>
      <c r="D134" s="64" t="s">
        <v>142</v>
      </c>
      <c r="E134" s="161">
        <v>3</v>
      </c>
    </row>
    <row r="135" spans="1:5">
      <c r="A135" s="160">
        <v>45614</v>
      </c>
      <c r="B135" s="63">
        <v>27</v>
      </c>
      <c r="C135" s="64" t="s">
        <v>143</v>
      </c>
      <c r="D135" s="64" t="s">
        <v>156</v>
      </c>
      <c r="E135" s="161">
        <v>2</v>
      </c>
    </row>
    <row r="136" spans="1:5">
      <c r="A136" s="160">
        <v>45615</v>
      </c>
      <c r="B136" s="63">
        <v>52</v>
      </c>
      <c r="C136" s="64" t="s">
        <v>150</v>
      </c>
      <c r="D136" s="64" t="s">
        <v>148</v>
      </c>
      <c r="E136" s="161">
        <v>2</v>
      </c>
    </row>
    <row r="137" spans="1:5">
      <c r="A137" s="160">
        <v>45616</v>
      </c>
      <c r="B137" s="63">
        <v>80</v>
      </c>
      <c r="C137" s="64" t="s">
        <v>146</v>
      </c>
      <c r="D137" s="64" t="s">
        <v>147</v>
      </c>
      <c r="E137" s="161">
        <v>2</v>
      </c>
    </row>
    <row r="138" spans="1:5">
      <c r="A138" s="160">
        <v>45616</v>
      </c>
      <c r="B138" s="63">
        <v>37</v>
      </c>
      <c r="C138" s="64" t="s">
        <v>138</v>
      </c>
      <c r="D138" s="64" t="s">
        <v>139</v>
      </c>
      <c r="E138" s="161">
        <v>3</v>
      </c>
    </row>
    <row r="139" spans="1:5">
      <c r="A139" s="160">
        <v>45618</v>
      </c>
      <c r="B139" s="63">
        <v>42</v>
      </c>
      <c r="C139" s="64" t="s">
        <v>151</v>
      </c>
      <c r="D139" s="64" t="s">
        <v>153</v>
      </c>
      <c r="E139" s="161">
        <v>1</v>
      </c>
    </row>
    <row r="140" spans="1:5">
      <c r="A140" s="160">
        <v>45618</v>
      </c>
      <c r="B140" s="63">
        <v>13</v>
      </c>
      <c r="C140" s="64" t="s">
        <v>141</v>
      </c>
      <c r="D140" s="64" t="s">
        <v>144</v>
      </c>
      <c r="E140" s="161">
        <v>4</v>
      </c>
    </row>
    <row r="141" spans="1:5">
      <c r="A141" s="160">
        <v>45618</v>
      </c>
      <c r="B141" s="63">
        <v>98</v>
      </c>
      <c r="C141" s="64" t="s">
        <v>143</v>
      </c>
      <c r="D141" s="64" t="s">
        <v>142</v>
      </c>
      <c r="E141" s="161">
        <v>1</v>
      </c>
    </row>
    <row r="142" spans="1:5">
      <c r="A142" s="160">
        <v>45618</v>
      </c>
      <c r="B142" s="63">
        <v>63</v>
      </c>
      <c r="C142" s="64" t="s">
        <v>150</v>
      </c>
      <c r="D142" s="64" t="s">
        <v>156</v>
      </c>
      <c r="E142" s="161">
        <v>1</v>
      </c>
    </row>
    <row r="143" spans="1:5">
      <c r="A143" s="160">
        <v>45619</v>
      </c>
      <c r="B143" s="63">
        <v>62</v>
      </c>
      <c r="C143" s="64" t="s">
        <v>146</v>
      </c>
      <c r="D143" s="64" t="s">
        <v>148</v>
      </c>
      <c r="E143" s="161">
        <v>4</v>
      </c>
    </row>
    <row r="144" spans="1:5">
      <c r="A144" s="160">
        <v>45619</v>
      </c>
      <c r="B144" s="63">
        <v>30</v>
      </c>
      <c r="C144" s="64" t="s">
        <v>138</v>
      </c>
      <c r="D144" s="64" t="s">
        <v>147</v>
      </c>
      <c r="E144" s="161">
        <v>4</v>
      </c>
    </row>
    <row r="145" spans="1:5">
      <c r="A145" s="160">
        <v>45619</v>
      </c>
      <c r="B145" s="63">
        <v>55</v>
      </c>
      <c r="C145" s="64" t="s">
        <v>151</v>
      </c>
      <c r="D145" s="64" t="s">
        <v>139</v>
      </c>
      <c r="E145" s="161">
        <v>1</v>
      </c>
    </row>
    <row r="146" spans="1:5">
      <c r="A146" s="160">
        <v>45621</v>
      </c>
      <c r="B146" s="63">
        <v>40</v>
      </c>
      <c r="C146" s="64" t="s">
        <v>141</v>
      </c>
      <c r="D146" s="64" t="s">
        <v>153</v>
      </c>
      <c r="E146" s="161">
        <v>2</v>
      </c>
    </row>
    <row r="147" spans="1:5">
      <c r="A147" s="160">
        <v>45626</v>
      </c>
      <c r="B147" s="63">
        <v>74</v>
      </c>
      <c r="C147" s="64" t="s">
        <v>143</v>
      </c>
      <c r="D147" s="64" t="s">
        <v>144</v>
      </c>
      <c r="E147" s="161">
        <v>2</v>
      </c>
    </row>
    <row r="148" spans="1:5">
      <c r="A148" s="160">
        <v>45630</v>
      </c>
      <c r="B148" s="63">
        <v>74</v>
      </c>
      <c r="C148" s="64" t="s">
        <v>150</v>
      </c>
      <c r="D148" s="64" t="s">
        <v>142</v>
      </c>
      <c r="E148" s="161">
        <v>4</v>
      </c>
    </row>
    <row r="149" spans="1:5">
      <c r="A149" s="160">
        <v>45631</v>
      </c>
      <c r="B149" s="63">
        <v>99</v>
      </c>
      <c r="C149" s="64" t="s">
        <v>146</v>
      </c>
      <c r="D149" s="64" t="s">
        <v>156</v>
      </c>
      <c r="E149" s="161">
        <v>4</v>
      </c>
    </row>
    <row r="150" spans="1:5">
      <c r="A150" s="160">
        <v>45631</v>
      </c>
      <c r="B150" s="63">
        <v>94</v>
      </c>
      <c r="C150" s="64" t="s">
        <v>138</v>
      </c>
      <c r="D150" s="64" t="s">
        <v>148</v>
      </c>
      <c r="E150" s="161">
        <v>2</v>
      </c>
    </row>
    <row r="151" spans="1:5">
      <c r="A151" s="160">
        <v>45632</v>
      </c>
      <c r="B151" s="63">
        <v>55</v>
      </c>
      <c r="C151" s="64" t="s">
        <v>151</v>
      </c>
      <c r="D151" s="64" t="s">
        <v>147</v>
      </c>
      <c r="E151" s="161">
        <v>2</v>
      </c>
    </row>
    <row r="152" spans="1:5">
      <c r="A152" s="160">
        <v>45632</v>
      </c>
      <c r="B152" s="63">
        <v>18</v>
      </c>
      <c r="C152" s="64" t="s">
        <v>141</v>
      </c>
      <c r="D152" s="64" t="s">
        <v>139</v>
      </c>
      <c r="E152" s="161">
        <v>1</v>
      </c>
    </row>
    <row r="153" spans="1:5">
      <c r="A153" s="160">
        <v>45633</v>
      </c>
      <c r="B153" s="63">
        <v>37</v>
      </c>
      <c r="C153" s="64" t="s">
        <v>143</v>
      </c>
      <c r="D153" s="64" t="s">
        <v>153</v>
      </c>
      <c r="E153" s="161">
        <v>3</v>
      </c>
    </row>
    <row r="154" spans="1:5">
      <c r="A154" s="160">
        <v>45633</v>
      </c>
      <c r="B154" s="63">
        <v>76</v>
      </c>
      <c r="C154" s="64" t="s">
        <v>150</v>
      </c>
      <c r="D154" s="64" t="s">
        <v>144</v>
      </c>
      <c r="E154" s="161">
        <v>4</v>
      </c>
    </row>
    <row r="155" spans="1:5">
      <c r="A155" s="160">
        <v>45633</v>
      </c>
      <c r="B155" s="63">
        <v>68</v>
      </c>
      <c r="C155" s="64" t="s">
        <v>146</v>
      </c>
      <c r="D155" s="64" t="s">
        <v>142</v>
      </c>
      <c r="E155" s="161">
        <v>3</v>
      </c>
    </row>
    <row r="156" spans="1:5">
      <c r="A156" s="160">
        <v>45637</v>
      </c>
      <c r="B156" s="63">
        <v>21</v>
      </c>
      <c r="C156" s="64" t="s">
        <v>138</v>
      </c>
      <c r="D156" s="64" t="s">
        <v>156</v>
      </c>
      <c r="E156" s="161">
        <v>2</v>
      </c>
    </row>
    <row r="157" spans="1:5">
      <c r="A157" s="160">
        <v>45637</v>
      </c>
      <c r="B157" s="63">
        <v>79</v>
      </c>
      <c r="C157" s="64" t="s">
        <v>151</v>
      </c>
      <c r="D157" s="64" t="s">
        <v>148</v>
      </c>
      <c r="E157" s="161">
        <v>1</v>
      </c>
    </row>
    <row r="158" spans="1:5">
      <c r="A158" s="160">
        <v>45638</v>
      </c>
      <c r="B158" s="63">
        <v>13</v>
      </c>
      <c r="C158" s="64" t="s">
        <v>141</v>
      </c>
      <c r="D158" s="64" t="s">
        <v>147</v>
      </c>
      <c r="E158" s="161">
        <v>3</v>
      </c>
    </row>
    <row r="159" spans="1:5">
      <c r="A159" s="160">
        <v>45641</v>
      </c>
      <c r="B159" s="63">
        <v>96</v>
      </c>
      <c r="C159" s="64" t="s">
        <v>143</v>
      </c>
      <c r="D159" s="64" t="s">
        <v>139</v>
      </c>
      <c r="E159" s="161">
        <v>1</v>
      </c>
    </row>
    <row r="160" spans="1:5">
      <c r="A160" s="160">
        <v>45641</v>
      </c>
      <c r="B160" s="63">
        <v>45</v>
      </c>
      <c r="C160" s="64" t="s">
        <v>150</v>
      </c>
      <c r="D160" s="64" t="s">
        <v>153</v>
      </c>
      <c r="E160" s="161">
        <v>3</v>
      </c>
    </row>
    <row r="161" spans="1:5">
      <c r="A161" s="160">
        <v>45642</v>
      </c>
      <c r="B161" s="63">
        <v>47</v>
      </c>
      <c r="C161" s="64" t="s">
        <v>146</v>
      </c>
      <c r="D161" s="64" t="s">
        <v>144</v>
      </c>
      <c r="E161" s="161">
        <v>2</v>
      </c>
    </row>
    <row r="162" spans="1:5">
      <c r="A162" s="160">
        <v>45642</v>
      </c>
      <c r="B162" s="63">
        <v>97</v>
      </c>
      <c r="C162" s="64" t="s">
        <v>138</v>
      </c>
      <c r="D162" s="64" t="s">
        <v>142</v>
      </c>
      <c r="E162" s="161">
        <v>1</v>
      </c>
    </row>
    <row r="163" spans="1:5">
      <c r="A163" s="160">
        <v>45644</v>
      </c>
      <c r="B163" s="63">
        <v>34</v>
      </c>
      <c r="C163" s="64" t="s">
        <v>151</v>
      </c>
      <c r="D163" s="64" t="s">
        <v>156</v>
      </c>
      <c r="E163" s="161">
        <v>1</v>
      </c>
    </row>
    <row r="164" spans="1:5">
      <c r="A164" s="160">
        <v>45644</v>
      </c>
      <c r="B164" s="63">
        <v>52</v>
      </c>
      <c r="C164" s="64" t="s">
        <v>141</v>
      </c>
      <c r="D164" s="64" t="s">
        <v>148</v>
      </c>
      <c r="E164" s="161">
        <v>4</v>
      </c>
    </row>
    <row r="165" spans="1:5">
      <c r="A165" s="160">
        <v>45644</v>
      </c>
      <c r="B165" s="63">
        <v>1</v>
      </c>
      <c r="C165" s="64" t="s">
        <v>143</v>
      </c>
      <c r="D165" s="64" t="s">
        <v>147</v>
      </c>
      <c r="E165" s="161">
        <v>1</v>
      </c>
    </row>
    <row r="166" spans="1:5">
      <c r="A166" s="160">
        <v>45645</v>
      </c>
      <c r="B166" s="63">
        <v>75</v>
      </c>
      <c r="C166" s="64" t="s">
        <v>150</v>
      </c>
      <c r="D166" s="64" t="s">
        <v>139</v>
      </c>
      <c r="E166" s="161">
        <v>4</v>
      </c>
    </row>
    <row r="167" spans="1:5">
      <c r="A167" s="160">
        <v>45646</v>
      </c>
      <c r="B167" s="63">
        <v>63</v>
      </c>
      <c r="C167" s="64" t="s">
        <v>146</v>
      </c>
      <c r="D167" s="64" t="s">
        <v>153</v>
      </c>
      <c r="E167" s="161">
        <v>3</v>
      </c>
    </row>
    <row r="168" spans="1:5">
      <c r="A168" s="160">
        <v>45646</v>
      </c>
      <c r="B168" s="63">
        <v>40</v>
      </c>
      <c r="C168" s="64" t="s">
        <v>138</v>
      </c>
      <c r="D168" s="64" t="s">
        <v>144</v>
      </c>
      <c r="E168" s="161">
        <v>2</v>
      </c>
    </row>
    <row r="169" spans="1:5">
      <c r="A169" s="160">
        <v>45646</v>
      </c>
      <c r="B169" s="63">
        <v>8</v>
      </c>
      <c r="C169" s="64" t="s">
        <v>151</v>
      </c>
      <c r="D169" s="64" t="s">
        <v>142</v>
      </c>
      <c r="E169" s="161">
        <v>1</v>
      </c>
    </row>
    <row r="170" spans="1:5">
      <c r="A170" s="160">
        <v>45647</v>
      </c>
      <c r="B170" s="63">
        <v>24</v>
      </c>
      <c r="C170" s="64" t="s">
        <v>141</v>
      </c>
      <c r="D170" s="64" t="s">
        <v>156</v>
      </c>
      <c r="E170" s="161">
        <v>1</v>
      </c>
    </row>
    <row r="171" spans="1:5">
      <c r="A171" s="160">
        <v>45647</v>
      </c>
      <c r="B171" s="63">
        <v>76</v>
      </c>
      <c r="C171" s="64" t="s">
        <v>143</v>
      </c>
      <c r="D171" s="64" t="s">
        <v>148</v>
      </c>
      <c r="E171" s="161">
        <v>3</v>
      </c>
    </row>
    <row r="172" spans="1:5">
      <c r="A172" s="160">
        <v>45647</v>
      </c>
      <c r="B172" s="63">
        <v>22</v>
      </c>
      <c r="C172" s="64" t="s">
        <v>150</v>
      </c>
      <c r="D172" s="64" t="s">
        <v>147</v>
      </c>
      <c r="E172" s="161">
        <v>4</v>
      </c>
    </row>
    <row r="173" spans="1:5">
      <c r="A173" s="160">
        <v>45650</v>
      </c>
      <c r="B173" s="63">
        <v>20</v>
      </c>
      <c r="C173" s="64" t="s">
        <v>146</v>
      </c>
      <c r="D173" s="64" t="s">
        <v>139</v>
      </c>
      <c r="E173" s="161">
        <v>2</v>
      </c>
    </row>
    <row r="174" spans="1:5">
      <c r="A174" s="160">
        <v>45652</v>
      </c>
      <c r="B174" s="63">
        <v>84</v>
      </c>
      <c r="C174" s="64" t="s">
        <v>138</v>
      </c>
      <c r="D174" s="64" t="s">
        <v>153</v>
      </c>
      <c r="E174" s="161">
        <v>4</v>
      </c>
    </row>
    <row r="175" spans="1:5">
      <c r="A175" s="160">
        <v>45653</v>
      </c>
      <c r="B175" s="63">
        <v>77</v>
      </c>
      <c r="C175" s="64" t="s">
        <v>151</v>
      </c>
      <c r="D175" s="64" t="s">
        <v>144</v>
      </c>
      <c r="E175" s="161">
        <v>3</v>
      </c>
    </row>
    <row r="176" spans="1:5">
      <c r="A176" s="160">
        <v>45653</v>
      </c>
      <c r="B176" s="63">
        <v>46</v>
      </c>
      <c r="C176" s="64" t="s">
        <v>141</v>
      </c>
      <c r="D176" s="64" t="s">
        <v>142</v>
      </c>
      <c r="E176" s="161">
        <v>2</v>
      </c>
    </row>
    <row r="177" spans="1:5">
      <c r="A177" s="160">
        <v>45653</v>
      </c>
      <c r="B177" s="63">
        <v>14</v>
      </c>
      <c r="C177" s="64" t="s">
        <v>143</v>
      </c>
      <c r="D177" s="64" t="s">
        <v>156</v>
      </c>
      <c r="E177" s="161">
        <v>3</v>
      </c>
    </row>
    <row r="178" spans="1:5">
      <c r="A178" s="160">
        <v>45659</v>
      </c>
      <c r="B178" s="63">
        <v>39</v>
      </c>
      <c r="C178" s="64" t="s">
        <v>150</v>
      </c>
      <c r="D178" s="64" t="s">
        <v>148</v>
      </c>
      <c r="E178" s="161">
        <v>2</v>
      </c>
    </row>
    <row r="179" spans="1:5">
      <c r="A179" s="160">
        <v>45659</v>
      </c>
      <c r="B179" s="63">
        <v>28</v>
      </c>
      <c r="C179" s="64" t="s">
        <v>146</v>
      </c>
      <c r="D179" s="64" t="s">
        <v>147</v>
      </c>
      <c r="E179" s="161">
        <v>3</v>
      </c>
    </row>
    <row r="180" spans="1:5">
      <c r="A180" s="160">
        <v>45659</v>
      </c>
      <c r="B180" s="63">
        <v>18</v>
      </c>
      <c r="C180" s="64" t="s">
        <v>138</v>
      </c>
      <c r="D180" s="64" t="s">
        <v>139</v>
      </c>
      <c r="E180" s="161">
        <v>1</v>
      </c>
    </row>
    <row r="181" spans="1:5">
      <c r="A181" s="160">
        <v>45660</v>
      </c>
      <c r="B181" s="63">
        <v>3</v>
      </c>
      <c r="C181" s="64" t="s">
        <v>151</v>
      </c>
      <c r="D181" s="64" t="s">
        <v>153</v>
      </c>
      <c r="E181" s="161">
        <v>2</v>
      </c>
    </row>
    <row r="182" spans="1:5">
      <c r="A182" s="160">
        <v>45661</v>
      </c>
      <c r="B182" s="63">
        <v>69</v>
      </c>
      <c r="C182" s="64" t="s">
        <v>141</v>
      </c>
      <c r="D182" s="64" t="s">
        <v>144</v>
      </c>
      <c r="E182" s="161">
        <v>3</v>
      </c>
    </row>
    <row r="183" spans="1:5">
      <c r="A183" s="160">
        <v>45661</v>
      </c>
      <c r="B183" s="63">
        <v>70</v>
      </c>
      <c r="C183" s="64" t="s">
        <v>143</v>
      </c>
      <c r="D183" s="64" t="s">
        <v>142</v>
      </c>
      <c r="E183" s="161">
        <v>3</v>
      </c>
    </row>
    <row r="184" spans="1:5">
      <c r="A184" s="160">
        <v>45663</v>
      </c>
      <c r="B184" s="63">
        <v>86</v>
      </c>
      <c r="C184" s="64" t="s">
        <v>150</v>
      </c>
      <c r="D184" s="64" t="s">
        <v>156</v>
      </c>
      <c r="E184" s="161">
        <v>1</v>
      </c>
    </row>
    <row r="185" spans="1:5">
      <c r="A185" s="160">
        <v>45665</v>
      </c>
      <c r="B185" s="63">
        <v>58</v>
      </c>
      <c r="C185" s="64" t="s">
        <v>146</v>
      </c>
      <c r="D185" s="64" t="s">
        <v>148</v>
      </c>
      <c r="E185" s="161">
        <v>2</v>
      </c>
    </row>
    <row r="186" spans="1:5">
      <c r="A186" s="160">
        <v>45665</v>
      </c>
      <c r="B186" s="63">
        <v>74</v>
      </c>
      <c r="C186" s="64" t="s">
        <v>138</v>
      </c>
      <c r="D186" s="64" t="s">
        <v>147</v>
      </c>
      <c r="E186" s="161">
        <v>2</v>
      </c>
    </row>
    <row r="187" spans="1:5">
      <c r="A187" s="160">
        <v>45666</v>
      </c>
      <c r="B187" s="63">
        <v>17</v>
      </c>
      <c r="C187" s="64" t="s">
        <v>151</v>
      </c>
      <c r="D187" s="64" t="s">
        <v>139</v>
      </c>
      <c r="E187" s="161">
        <v>2</v>
      </c>
    </row>
    <row r="188" spans="1:5">
      <c r="A188" s="160">
        <v>45667</v>
      </c>
      <c r="B188" s="63">
        <v>74</v>
      </c>
      <c r="C188" s="64" t="s">
        <v>141</v>
      </c>
      <c r="D188" s="64" t="s">
        <v>153</v>
      </c>
      <c r="E188" s="161">
        <v>1</v>
      </c>
    </row>
    <row r="189" spans="1:5">
      <c r="A189" s="160">
        <v>45669</v>
      </c>
      <c r="B189" s="63">
        <v>65</v>
      </c>
      <c r="C189" s="64" t="s">
        <v>143</v>
      </c>
      <c r="D189" s="64" t="s">
        <v>144</v>
      </c>
      <c r="E189" s="161">
        <v>1</v>
      </c>
    </row>
    <row r="190" spans="1:5">
      <c r="A190" s="160">
        <v>45669</v>
      </c>
      <c r="B190" s="63">
        <v>50</v>
      </c>
      <c r="C190" s="64" t="s">
        <v>150</v>
      </c>
      <c r="D190" s="64" t="s">
        <v>142</v>
      </c>
      <c r="E190" s="161">
        <v>3</v>
      </c>
    </row>
    <row r="191" spans="1:5">
      <c r="A191" s="160">
        <v>45670</v>
      </c>
      <c r="B191" s="63">
        <v>3</v>
      </c>
      <c r="C191" s="64" t="s">
        <v>146</v>
      </c>
      <c r="D191" s="64" t="s">
        <v>156</v>
      </c>
      <c r="E191" s="161">
        <v>1</v>
      </c>
    </row>
    <row r="192" spans="1:5">
      <c r="A192" s="160">
        <v>45670</v>
      </c>
      <c r="B192" s="63">
        <v>24</v>
      </c>
      <c r="C192" s="64" t="s">
        <v>138</v>
      </c>
      <c r="D192" s="64" t="s">
        <v>148</v>
      </c>
      <c r="E192" s="161">
        <v>4</v>
      </c>
    </row>
    <row r="193" spans="1:5">
      <c r="A193" s="160">
        <v>45670</v>
      </c>
      <c r="B193" s="63">
        <v>79</v>
      </c>
      <c r="C193" s="64" t="s">
        <v>151</v>
      </c>
      <c r="D193" s="64" t="s">
        <v>147</v>
      </c>
      <c r="E193" s="161">
        <v>4</v>
      </c>
    </row>
    <row r="194" spans="1:5">
      <c r="A194" s="160">
        <v>45671</v>
      </c>
      <c r="B194" s="63">
        <v>25</v>
      </c>
      <c r="C194" s="64" t="s">
        <v>141</v>
      </c>
      <c r="D194" s="64" t="s">
        <v>139</v>
      </c>
      <c r="E194" s="161">
        <v>2</v>
      </c>
    </row>
    <row r="195" spans="1:5">
      <c r="A195" s="160">
        <v>45673</v>
      </c>
      <c r="B195" s="63">
        <v>10</v>
      </c>
      <c r="C195" s="64" t="s">
        <v>143</v>
      </c>
      <c r="D195" s="64" t="s">
        <v>153</v>
      </c>
      <c r="E195" s="161">
        <v>3</v>
      </c>
    </row>
    <row r="196" spans="1:5">
      <c r="A196" s="160">
        <v>45673</v>
      </c>
      <c r="B196" s="63">
        <v>93</v>
      </c>
      <c r="C196" s="64" t="s">
        <v>150</v>
      </c>
      <c r="D196" s="64" t="s">
        <v>144</v>
      </c>
      <c r="E196" s="161">
        <v>2</v>
      </c>
    </row>
    <row r="197" spans="1:5">
      <c r="A197" s="160">
        <v>45678</v>
      </c>
      <c r="B197" s="63">
        <v>24</v>
      </c>
      <c r="C197" s="64" t="s">
        <v>146</v>
      </c>
      <c r="D197" s="64" t="s">
        <v>142</v>
      </c>
      <c r="E197" s="161">
        <v>2</v>
      </c>
    </row>
    <row r="198" spans="1:5">
      <c r="A198" s="160">
        <v>45680</v>
      </c>
      <c r="B198" s="63">
        <v>14</v>
      </c>
      <c r="C198" s="64" t="s">
        <v>138</v>
      </c>
      <c r="D198" s="64" t="s">
        <v>156</v>
      </c>
      <c r="E198" s="161">
        <v>1</v>
      </c>
    </row>
    <row r="199" spans="1:5">
      <c r="A199" s="160">
        <v>45681</v>
      </c>
      <c r="B199" s="63">
        <v>47</v>
      </c>
      <c r="C199" s="64" t="s">
        <v>151</v>
      </c>
      <c r="D199" s="64" t="s">
        <v>148</v>
      </c>
      <c r="E199" s="161">
        <v>3</v>
      </c>
    </row>
    <row r="200" spans="1:5">
      <c r="A200" s="160">
        <v>45682</v>
      </c>
      <c r="B200" s="63">
        <v>92</v>
      </c>
      <c r="C200" s="64" t="s">
        <v>141</v>
      </c>
      <c r="D200" s="64" t="s">
        <v>147</v>
      </c>
      <c r="E200" s="161">
        <v>3</v>
      </c>
    </row>
    <row r="201" spans="1:5">
      <c r="A201" s="160">
        <v>45683</v>
      </c>
      <c r="B201" s="63">
        <v>33</v>
      </c>
      <c r="C201" s="64" t="s">
        <v>143</v>
      </c>
      <c r="D201" s="64" t="s">
        <v>139</v>
      </c>
      <c r="E201" s="161">
        <v>1</v>
      </c>
    </row>
    <row r="202" spans="1:5">
      <c r="A202" s="160">
        <v>45683</v>
      </c>
      <c r="B202" s="63">
        <v>38</v>
      </c>
      <c r="C202" s="64" t="s">
        <v>150</v>
      </c>
      <c r="D202" s="64" t="s">
        <v>153</v>
      </c>
      <c r="E202" s="161">
        <v>3</v>
      </c>
    </row>
    <row r="203" spans="1:5">
      <c r="A203" s="160">
        <v>45684</v>
      </c>
      <c r="B203" s="63">
        <v>33</v>
      </c>
      <c r="C203" s="64" t="s">
        <v>146</v>
      </c>
      <c r="D203" s="64" t="s">
        <v>144</v>
      </c>
      <c r="E203" s="161">
        <v>1</v>
      </c>
    </row>
    <row r="204" spans="1:5">
      <c r="A204" s="160">
        <v>45685</v>
      </c>
      <c r="B204" s="63">
        <v>30</v>
      </c>
      <c r="C204" s="64" t="s">
        <v>138</v>
      </c>
      <c r="D204" s="64" t="s">
        <v>142</v>
      </c>
      <c r="E204" s="161">
        <v>2</v>
      </c>
    </row>
    <row r="205" spans="1:5">
      <c r="A205" s="160">
        <v>45686</v>
      </c>
      <c r="B205" s="63">
        <v>32</v>
      </c>
      <c r="C205" s="64" t="s">
        <v>151</v>
      </c>
      <c r="D205" s="64" t="s">
        <v>156</v>
      </c>
      <c r="E205" s="161">
        <v>4</v>
      </c>
    </row>
    <row r="206" spans="1:5">
      <c r="A206" s="160">
        <v>45687</v>
      </c>
      <c r="B206" s="63">
        <v>81</v>
      </c>
      <c r="C206" s="64" t="s">
        <v>141</v>
      </c>
      <c r="D206" s="64" t="s">
        <v>148</v>
      </c>
      <c r="E206" s="161">
        <v>2</v>
      </c>
    </row>
    <row r="207" spans="1:5">
      <c r="A207" s="160">
        <v>45688</v>
      </c>
      <c r="B207" s="63">
        <v>13</v>
      </c>
      <c r="C207" s="64" t="s">
        <v>143</v>
      </c>
      <c r="D207" s="64" t="s">
        <v>147</v>
      </c>
      <c r="E207" s="161">
        <v>1</v>
      </c>
    </row>
    <row r="208" spans="1:5">
      <c r="A208" s="160">
        <v>45689</v>
      </c>
      <c r="B208" s="63">
        <v>81</v>
      </c>
      <c r="C208" s="64" t="s">
        <v>150</v>
      </c>
      <c r="D208" s="64" t="s">
        <v>139</v>
      </c>
      <c r="E208" s="161">
        <v>3</v>
      </c>
    </row>
    <row r="209" spans="1:5">
      <c r="A209" s="160">
        <v>45689</v>
      </c>
      <c r="B209" s="63">
        <v>40</v>
      </c>
      <c r="C209" s="64" t="s">
        <v>146</v>
      </c>
      <c r="D209" s="64" t="s">
        <v>153</v>
      </c>
      <c r="E209" s="161">
        <v>4</v>
      </c>
    </row>
    <row r="210" spans="1:5">
      <c r="A210" s="160">
        <v>45690</v>
      </c>
      <c r="B210" s="63">
        <v>85</v>
      </c>
      <c r="C210" s="64" t="s">
        <v>138</v>
      </c>
      <c r="D210" s="64" t="s">
        <v>144</v>
      </c>
      <c r="E210" s="161">
        <v>3</v>
      </c>
    </row>
    <row r="211" spans="1:5">
      <c r="A211" s="160">
        <v>45692</v>
      </c>
      <c r="B211" s="63">
        <v>23</v>
      </c>
      <c r="C211" s="64" t="s">
        <v>151</v>
      </c>
      <c r="D211" s="64" t="s">
        <v>142</v>
      </c>
      <c r="E211" s="161">
        <v>1</v>
      </c>
    </row>
    <row r="212" spans="1:5">
      <c r="A212" s="160">
        <v>45692</v>
      </c>
      <c r="B212" s="63">
        <v>92</v>
      </c>
      <c r="C212" s="64" t="s">
        <v>141</v>
      </c>
      <c r="D212" s="64" t="s">
        <v>156</v>
      </c>
      <c r="E212" s="161">
        <v>1</v>
      </c>
    </row>
    <row r="213" spans="1:5">
      <c r="A213" s="160">
        <v>45693</v>
      </c>
      <c r="B213" s="63">
        <v>20</v>
      </c>
      <c r="C213" s="64" t="s">
        <v>143</v>
      </c>
      <c r="D213" s="64" t="s">
        <v>148</v>
      </c>
      <c r="E213" s="161">
        <v>3</v>
      </c>
    </row>
    <row r="214" spans="1:5">
      <c r="A214" s="160">
        <v>45693</v>
      </c>
      <c r="B214" s="63">
        <v>42</v>
      </c>
      <c r="C214" s="64" t="s">
        <v>150</v>
      </c>
      <c r="D214" s="64" t="s">
        <v>147</v>
      </c>
      <c r="E214" s="161">
        <v>4</v>
      </c>
    </row>
    <row r="215" spans="1:5">
      <c r="A215" s="160">
        <v>45694</v>
      </c>
      <c r="B215" s="63">
        <v>65</v>
      </c>
      <c r="C215" s="64" t="s">
        <v>146</v>
      </c>
      <c r="D215" s="64" t="s">
        <v>139</v>
      </c>
      <c r="E215" s="161">
        <v>4</v>
      </c>
    </row>
    <row r="216" spans="1:5">
      <c r="A216" s="160">
        <v>45694</v>
      </c>
      <c r="B216" s="63">
        <v>66</v>
      </c>
      <c r="C216" s="64" t="s">
        <v>138</v>
      </c>
      <c r="D216" s="64" t="s">
        <v>153</v>
      </c>
      <c r="E216" s="161">
        <v>3</v>
      </c>
    </row>
    <row r="217" spans="1:5">
      <c r="A217" s="160">
        <v>45695</v>
      </c>
      <c r="B217" s="63">
        <v>5</v>
      </c>
      <c r="C217" s="64" t="s">
        <v>151</v>
      </c>
      <c r="D217" s="64" t="s">
        <v>144</v>
      </c>
      <c r="E217" s="161">
        <v>3</v>
      </c>
    </row>
    <row r="218" spans="1:5">
      <c r="A218" s="160">
        <v>45695</v>
      </c>
      <c r="B218" s="63">
        <v>79</v>
      </c>
      <c r="C218" s="64" t="s">
        <v>141</v>
      </c>
      <c r="D218" s="64" t="s">
        <v>142</v>
      </c>
      <c r="E218" s="161">
        <v>3</v>
      </c>
    </row>
    <row r="219" spans="1:5">
      <c r="A219" s="160">
        <v>45695</v>
      </c>
      <c r="B219" s="63">
        <v>8</v>
      </c>
      <c r="C219" s="64" t="s">
        <v>143</v>
      </c>
      <c r="D219" s="64" t="s">
        <v>156</v>
      </c>
      <c r="E219" s="161">
        <v>2</v>
      </c>
    </row>
    <row r="220" spans="1:5">
      <c r="A220" s="160">
        <v>45695</v>
      </c>
      <c r="B220" s="63">
        <v>41</v>
      </c>
      <c r="C220" s="64" t="s">
        <v>150</v>
      </c>
      <c r="D220" s="64" t="s">
        <v>148</v>
      </c>
      <c r="E220" s="161">
        <v>1</v>
      </c>
    </row>
    <row r="221" spans="1:5">
      <c r="A221" s="160">
        <v>45696</v>
      </c>
      <c r="B221" s="63">
        <v>84</v>
      </c>
      <c r="C221" s="64" t="s">
        <v>146</v>
      </c>
      <c r="D221" s="64" t="s">
        <v>147</v>
      </c>
      <c r="E221" s="161">
        <v>3</v>
      </c>
    </row>
    <row r="222" spans="1:5">
      <c r="A222" s="160">
        <v>45697</v>
      </c>
      <c r="B222" s="63">
        <v>83</v>
      </c>
      <c r="C222" s="64" t="s">
        <v>138</v>
      </c>
      <c r="D222" s="64" t="s">
        <v>139</v>
      </c>
      <c r="E222" s="161">
        <v>2</v>
      </c>
    </row>
    <row r="223" spans="1:5">
      <c r="A223" s="160">
        <v>45698</v>
      </c>
      <c r="B223" s="63">
        <v>25</v>
      </c>
      <c r="C223" s="64" t="s">
        <v>151</v>
      </c>
      <c r="D223" s="64" t="s">
        <v>153</v>
      </c>
      <c r="E223" s="161">
        <v>3</v>
      </c>
    </row>
    <row r="224" spans="1:5">
      <c r="A224" s="160">
        <v>45699</v>
      </c>
      <c r="B224" s="63">
        <v>48</v>
      </c>
      <c r="C224" s="64" t="s">
        <v>141</v>
      </c>
      <c r="D224" s="64" t="s">
        <v>144</v>
      </c>
      <c r="E224" s="161">
        <v>1</v>
      </c>
    </row>
    <row r="225" spans="1:5">
      <c r="A225" s="160">
        <v>45700</v>
      </c>
      <c r="B225" s="63">
        <v>96</v>
      </c>
      <c r="C225" s="64" t="s">
        <v>143</v>
      </c>
      <c r="D225" s="64" t="s">
        <v>142</v>
      </c>
      <c r="E225" s="161">
        <v>4</v>
      </c>
    </row>
    <row r="226" spans="1:5">
      <c r="A226" s="160">
        <v>45700</v>
      </c>
      <c r="B226" s="63">
        <v>51</v>
      </c>
      <c r="C226" s="64" t="s">
        <v>150</v>
      </c>
      <c r="D226" s="64" t="s">
        <v>156</v>
      </c>
      <c r="E226" s="161">
        <v>2</v>
      </c>
    </row>
    <row r="227" spans="1:5">
      <c r="A227" s="160">
        <v>45700</v>
      </c>
      <c r="B227" s="63">
        <v>76</v>
      </c>
      <c r="C227" s="64" t="s">
        <v>146</v>
      </c>
      <c r="D227" s="64" t="s">
        <v>148</v>
      </c>
      <c r="E227" s="161">
        <v>1</v>
      </c>
    </row>
    <row r="228" spans="1:5">
      <c r="A228" s="160">
        <v>45701</v>
      </c>
      <c r="B228" s="63">
        <v>64</v>
      </c>
      <c r="C228" s="64" t="s">
        <v>138</v>
      </c>
      <c r="D228" s="64" t="s">
        <v>147</v>
      </c>
      <c r="E228" s="161">
        <v>3</v>
      </c>
    </row>
    <row r="229" spans="1:5">
      <c r="A229" s="160">
        <v>45702</v>
      </c>
      <c r="B229" s="63">
        <v>96</v>
      </c>
      <c r="C229" s="64" t="s">
        <v>151</v>
      </c>
      <c r="D229" s="64" t="s">
        <v>139</v>
      </c>
      <c r="E229" s="161">
        <v>1</v>
      </c>
    </row>
    <row r="230" spans="1:5">
      <c r="A230" s="160">
        <v>45704</v>
      </c>
      <c r="B230" s="63">
        <v>39</v>
      </c>
      <c r="C230" s="64" t="s">
        <v>141</v>
      </c>
      <c r="D230" s="64" t="s">
        <v>153</v>
      </c>
      <c r="E230" s="161">
        <v>4</v>
      </c>
    </row>
    <row r="231" spans="1:5">
      <c r="A231" s="160">
        <v>45706</v>
      </c>
      <c r="B231" s="63">
        <v>55</v>
      </c>
      <c r="C231" s="64" t="s">
        <v>143</v>
      </c>
      <c r="D231" s="64" t="s">
        <v>144</v>
      </c>
      <c r="E231" s="161">
        <v>4</v>
      </c>
    </row>
    <row r="232" spans="1:5">
      <c r="A232" s="160">
        <v>45709</v>
      </c>
      <c r="B232" s="63">
        <v>37</v>
      </c>
      <c r="C232" s="64" t="s">
        <v>150</v>
      </c>
      <c r="D232" s="64" t="s">
        <v>142</v>
      </c>
      <c r="E232" s="161">
        <v>2</v>
      </c>
    </row>
    <row r="233" spans="1:5">
      <c r="A233" s="160">
        <v>45709</v>
      </c>
      <c r="B233" s="63">
        <v>12</v>
      </c>
      <c r="C233" s="64" t="s">
        <v>146</v>
      </c>
      <c r="D233" s="64" t="s">
        <v>156</v>
      </c>
      <c r="E233" s="161">
        <v>2</v>
      </c>
    </row>
    <row r="234" spans="1:5">
      <c r="A234" s="160">
        <v>45714</v>
      </c>
      <c r="B234" s="63">
        <v>81</v>
      </c>
      <c r="C234" s="64" t="s">
        <v>138</v>
      </c>
      <c r="D234" s="64" t="s">
        <v>148</v>
      </c>
      <c r="E234" s="161">
        <v>1</v>
      </c>
    </row>
    <row r="235" spans="1:5">
      <c r="A235" s="160">
        <v>45716</v>
      </c>
      <c r="B235" s="63">
        <v>68</v>
      </c>
      <c r="C235" s="64" t="s">
        <v>151</v>
      </c>
      <c r="D235" s="64" t="s">
        <v>147</v>
      </c>
      <c r="E235" s="161">
        <v>1</v>
      </c>
    </row>
    <row r="236" spans="1:5">
      <c r="A236" s="160">
        <v>45717</v>
      </c>
      <c r="B236" s="63">
        <v>90</v>
      </c>
      <c r="C236" s="64" t="s">
        <v>141</v>
      </c>
      <c r="D236" s="64" t="s">
        <v>139</v>
      </c>
      <c r="E236" s="161">
        <v>4</v>
      </c>
    </row>
    <row r="237" spans="1:5">
      <c r="A237" s="160">
        <v>45717</v>
      </c>
      <c r="B237" s="63">
        <v>86</v>
      </c>
      <c r="C237" s="64" t="s">
        <v>143</v>
      </c>
      <c r="D237" s="64" t="s">
        <v>153</v>
      </c>
      <c r="E237" s="161">
        <v>3</v>
      </c>
    </row>
    <row r="238" spans="1:5">
      <c r="A238" s="160">
        <v>45718</v>
      </c>
      <c r="B238" s="63">
        <v>96</v>
      </c>
      <c r="C238" s="64" t="s">
        <v>150</v>
      </c>
      <c r="D238" s="64" t="s">
        <v>144</v>
      </c>
      <c r="E238" s="161">
        <v>1</v>
      </c>
    </row>
    <row r="239" spans="1:5">
      <c r="A239" s="160">
        <v>45720</v>
      </c>
      <c r="B239" s="63">
        <v>46</v>
      </c>
      <c r="C239" s="64" t="s">
        <v>146</v>
      </c>
      <c r="D239" s="64" t="s">
        <v>142</v>
      </c>
      <c r="E239" s="161">
        <v>1</v>
      </c>
    </row>
    <row r="240" spans="1:5">
      <c r="A240" s="160">
        <v>45721</v>
      </c>
      <c r="B240" s="63">
        <v>47</v>
      </c>
      <c r="C240" s="64" t="s">
        <v>138</v>
      </c>
      <c r="D240" s="64" t="s">
        <v>156</v>
      </c>
      <c r="E240" s="161">
        <v>2</v>
      </c>
    </row>
    <row r="241" spans="1:5">
      <c r="A241" s="160">
        <v>45723</v>
      </c>
      <c r="B241" s="63">
        <v>6</v>
      </c>
      <c r="C241" s="64" t="s">
        <v>151</v>
      </c>
      <c r="D241" s="64" t="s">
        <v>148</v>
      </c>
      <c r="E241" s="161">
        <v>4</v>
      </c>
    </row>
    <row r="242" spans="1:5">
      <c r="A242" s="160">
        <v>45724</v>
      </c>
      <c r="B242" s="63">
        <v>62</v>
      </c>
      <c r="C242" s="64" t="s">
        <v>141</v>
      </c>
      <c r="D242" s="64" t="s">
        <v>147</v>
      </c>
      <c r="E242" s="161">
        <v>3</v>
      </c>
    </row>
    <row r="243" spans="1:5">
      <c r="A243" s="160">
        <v>45724</v>
      </c>
      <c r="B243" s="63">
        <v>63</v>
      </c>
      <c r="C243" s="64" t="s">
        <v>143</v>
      </c>
      <c r="D243" s="64" t="s">
        <v>139</v>
      </c>
      <c r="E243" s="161">
        <v>3</v>
      </c>
    </row>
    <row r="244" spans="1:5">
      <c r="A244" s="160">
        <v>45725</v>
      </c>
      <c r="B244" s="63">
        <v>25</v>
      </c>
      <c r="C244" s="64" t="s">
        <v>150</v>
      </c>
      <c r="D244" s="64" t="s">
        <v>153</v>
      </c>
      <c r="E244" s="161">
        <v>1</v>
      </c>
    </row>
    <row r="245" spans="1:5">
      <c r="A245" s="160">
        <v>45727</v>
      </c>
      <c r="B245" s="63">
        <v>60</v>
      </c>
      <c r="C245" s="64" t="s">
        <v>146</v>
      </c>
      <c r="D245" s="64" t="s">
        <v>144</v>
      </c>
      <c r="E245" s="161">
        <v>3</v>
      </c>
    </row>
    <row r="246" spans="1:5">
      <c r="A246" s="160">
        <v>45729</v>
      </c>
      <c r="B246" s="63">
        <v>66</v>
      </c>
      <c r="C246" s="64" t="s">
        <v>138</v>
      </c>
      <c r="D246" s="64" t="s">
        <v>142</v>
      </c>
      <c r="E246" s="161">
        <v>3</v>
      </c>
    </row>
    <row r="247" spans="1:5">
      <c r="A247" s="160">
        <v>45730</v>
      </c>
      <c r="B247" s="63">
        <v>11</v>
      </c>
      <c r="C247" s="64" t="s">
        <v>151</v>
      </c>
      <c r="D247" s="64" t="s">
        <v>156</v>
      </c>
      <c r="E247" s="161">
        <v>4</v>
      </c>
    </row>
    <row r="248" spans="1:5">
      <c r="A248" s="160">
        <v>45730</v>
      </c>
      <c r="B248" s="63">
        <v>87</v>
      </c>
      <c r="C248" s="64" t="s">
        <v>141</v>
      </c>
      <c r="D248" s="64" t="s">
        <v>148</v>
      </c>
      <c r="E248" s="161">
        <v>3</v>
      </c>
    </row>
    <row r="249" spans="1:5">
      <c r="A249" s="160">
        <v>45731</v>
      </c>
      <c r="B249" s="63">
        <v>6</v>
      </c>
      <c r="C249" s="64" t="s">
        <v>143</v>
      </c>
      <c r="D249" s="64" t="s">
        <v>147</v>
      </c>
      <c r="E249" s="161">
        <v>2</v>
      </c>
    </row>
    <row r="250" spans="1:5">
      <c r="A250" s="160">
        <v>45732</v>
      </c>
      <c r="B250" s="63">
        <v>87</v>
      </c>
      <c r="C250" s="64" t="s">
        <v>150</v>
      </c>
      <c r="D250" s="64" t="s">
        <v>139</v>
      </c>
      <c r="E250" s="161">
        <v>1</v>
      </c>
    </row>
    <row r="251" spans="1:5">
      <c r="A251" s="160">
        <v>45732</v>
      </c>
      <c r="B251" s="63">
        <v>98</v>
      </c>
      <c r="C251" s="64" t="s">
        <v>146</v>
      </c>
      <c r="D251" s="64" t="s">
        <v>153</v>
      </c>
      <c r="E251" s="161">
        <v>4</v>
      </c>
    </row>
    <row r="252" spans="1:5">
      <c r="A252" s="160">
        <v>45732</v>
      </c>
      <c r="B252" s="63">
        <v>5</v>
      </c>
      <c r="C252" s="64" t="s">
        <v>138</v>
      </c>
      <c r="D252" s="64" t="s">
        <v>144</v>
      </c>
      <c r="E252" s="161">
        <v>2</v>
      </c>
    </row>
    <row r="253" spans="1:5">
      <c r="A253" s="160">
        <v>45733</v>
      </c>
      <c r="B253" s="63">
        <v>70</v>
      </c>
      <c r="C253" s="64" t="s">
        <v>151</v>
      </c>
      <c r="D253" s="64" t="s">
        <v>142</v>
      </c>
      <c r="E253" s="161">
        <v>2</v>
      </c>
    </row>
    <row r="254" spans="1:5">
      <c r="A254" s="160">
        <v>45733</v>
      </c>
      <c r="B254" s="63">
        <v>80</v>
      </c>
      <c r="C254" s="64" t="s">
        <v>141</v>
      </c>
      <c r="D254" s="64" t="s">
        <v>156</v>
      </c>
      <c r="E254" s="161">
        <v>2</v>
      </c>
    </row>
    <row r="255" spans="1:5">
      <c r="A255" s="160">
        <v>45735</v>
      </c>
      <c r="B255" s="63">
        <v>69</v>
      </c>
      <c r="C255" s="64" t="s">
        <v>143</v>
      </c>
      <c r="D255" s="64" t="s">
        <v>148</v>
      </c>
      <c r="E255" s="161">
        <v>4</v>
      </c>
    </row>
    <row r="256" spans="1:5">
      <c r="A256" s="160">
        <v>45737</v>
      </c>
      <c r="B256" s="63">
        <v>10</v>
      </c>
      <c r="C256" s="64" t="s">
        <v>150</v>
      </c>
      <c r="D256" s="64" t="s">
        <v>147</v>
      </c>
      <c r="E256" s="161">
        <v>1</v>
      </c>
    </row>
    <row r="257" spans="1:5">
      <c r="A257" s="160">
        <v>45741</v>
      </c>
      <c r="B257" s="63">
        <v>27</v>
      </c>
      <c r="C257" s="64" t="s">
        <v>146</v>
      </c>
      <c r="D257" s="64" t="s">
        <v>139</v>
      </c>
      <c r="E257" s="161">
        <v>4</v>
      </c>
    </row>
    <row r="258" spans="1:5">
      <c r="A258" s="160">
        <v>45743</v>
      </c>
      <c r="B258" s="63">
        <v>34</v>
      </c>
      <c r="C258" s="64" t="s">
        <v>138</v>
      </c>
      <c r="D258" s="64" t="s">
        <v>153</v>
      </c>
      <c r="E258" s="161">
        <v>4</v>
      </c>
    </row>
    <row r="259" spans="1:5">
      <c r="A259" s="160">
        <v>45743</v>
      </c>
      <c r="B259" s="63">
        <v>59</v>
      </c>
      <c r="C259" s="64" t="s">
        <v>151</v>
      </c>
      <c r="D259" s="64" t="s">
        <v>144</v>
      </c>
      <c r="E259" s="161">
        <v>3</v>
      </c>
    </row>
    <row r="260" spans="1:5">
      <c r="A260" s="160">
        <v>45744</v>
      </c>
      <c r="B260" s="63">
        <v>19</v>
      </c>
      <c r="C260" s="64" t="s">
        <v>141</v>
      </c>
      <c r="D260" s="64" t="s">
        <v>142</v>
      </c>
      <c r="E260" s="161">
        <v>4</v>
      </c>
    </row>
    <row r="261" spans="1:5">
      <c r="A261" s="160">
        <v>45745</v>
      </c>
      <c r="B261" s="63">
        <v>73</v>
      </c>
      <c r="C261" s="64" t="s">
        <v>143</v>
      </c>
      <c r="D261" s="64" t="s">
        <v>156</v>
      </c>
      <c r="E261" s="161">
        <v>1</v>
      </c>
    </row>
    <row r="262" spans="1:5">
      <c r="A262" s="160">
        <v>45746</v>
      </c>
      <c r="B262" s="63">
        <v>33</v>
      </c>
      <c r="C262" s="64" t="s">
        <v>150</v>
      </c>
      <c r="D262" s="64" t="s">
        <v>148</v>
      </c>
      <c r="E262" s="161">
        <v>4</v>
      </c>
    </row>
    <row r="263" spans="1:5">
      <c r="A263" s="160">
        <v>45746</v>
      </c>
      <c r="B263" s="63">
        <v>76</v>
      </c>
      <c r="C263" s="64" t="s">
        <v>146</v>
      </c>
      <c r="D263" s="64" t="s">
        <v>147</v>
      </c>
      <c r="E263" s="161">
        <v>1</v>
      </c>
    </row>
    <row r="264" spans="1:5">
      <c r="A264" s="160">
        <v>45747</v>
      </c>
      <c r="B264" s="63">
        <v>49</v>
      </c>
      <c r="C264" s="64" t="s">
        <v>138</v>
      </c>
      <c r="D264" s="64" t="s">
        <v>139</v>
      </c>
      <c r="E264" s="161">
        <v>1</v>
      </c>
    </row>
    <row r="265" spans="1:5">
      <c r="A265" s="160">
        <v>45747</v>
      </c>
      <c r="B265" s="63">
        <v>24</v>
      </c>
      <c r="C265" s="64" t="s">
        <v>151</v>
      </c>
      <c r="D265" s="64" t="s">
        <v>153</v>
      </c>
      <c r="E265" s="161">
        <v>1</v>
      </c>
    </row>
    <row r="266" spans="1:5">
      <c r="A266" s="160">
        <v>45748</v>
      </c>
      <c r="B266" s="63">
        <v>18</v>
      </c>
      <c r="C266" s="64" t="s">
        <v>141</v>
      </c>
      <c r="D266" s="64" t="s">
        <v>144</v>
      </c>
      <c r="E266" s="161">
        <v>1</v>
      </c>
    </row>
    <row r="267" spans="1:5">
      <c r="A267" s="160">
        <v>45748</v>
      </c>
      <c r="B267" s="63">
        <v>99</v>
      </c>
      <c r="C267" s="64" t="s">
        <v>143</v>
      </c>
      <c r="D267" s="64" t="s">
        <v>142</v>
      </c>
      <c r="E267" s="161">
        <v>2</v>
      </c>
    </row>
    <row r="268" spans="1:5">
      <c r="A268" s="160">
        <v>45749</v>
      </c>
      <c r="B268" s="63">
        <v>56</v>
      </c>
      <c r="C268" s="64" t="s">
        <v>150</v>
      </c>
      <c r="D268" s="64" t="s">
        <v>156</v>
      </c>
      <c r="E268" s="161">
        <v>1</v>
      </c>
    </row>
    <row r="269" spans="1:5">
      <c r="A269" s="160">
        <v>45751</v>
      </c>
      <c r="B269" s="63">
        <v>73</v>
      </c>
      <c r="C269" s="64" t="s">
        <v>146</v>
      </c>
      <c r="D269" s="64" t="s">
        <v>148</v>
      </c>
      <c r="E269" s="161">
        <v>3</v>
      </c>
    </row>
    <row r="270" spans="1:5">
      <c r="A270" s="160">
        <v>45752</v>
      </c>
      <c r="B270" s="63">
        <v>9</v>
      </c>
      <c r="C270" s="64" t="s">
        <v>138</v>
      </c>
      <c r="D270" s="64" t="s">
        <v>147</v>
      </c>
      <c r="E270" s="161">
        <v>3</v>
      </c>
    </row>
    <row r="271" spans="1:5">
      <c r="A271" s="160">
        <v>45757</v>
      </c>
      <c r="B271" s="63">
        <v>80</v>
      </c>
      <c r="C271" s="64" t="s">
        <v>151</v>
      </c>
      <c r="D271" s="64" t="s">
        <v>139</v>
      </c>
      <c r="E271" s="161">
        <v>1</v>
      </c>
    </row>
    <row r="272" spans="1:5">
      <c r="A272" s="160">
        <v>45760</v>
      </c>
      <c r="B272" s="63">
        <v>85</v>
      </c>
      <c r="C272" s="64" t="s">
        <v>141</v>
      </c>
      <c r="D272" s="64" t="s">
        <v>153</v>
      </c>
      <c r="E272" s="161">
        <v>2</v>
      </c>
    </row>
    <row r="273" spans="1:5">
      <c r="A273" s="160">
        <v>45760</v>
      </c>
      <c r="B273" s="63">
        <v>77</v>
      </c>
      <c r="C273" s="64" t="s">
        <v>143</v>
      </c>
      <c r="D273" s="64" t="s">
        <v>144</v>
      </c>
      <c r="E273" s="161">
        <v>2</v>
      </c>
    </row>
    <row r="274" spans="1:5">
      <c r="A274" s="160">
        <v>45761</v>
      </c>
      <c r="B274" s="63">
        <v>45</v>
      </c>
      <c r="C274" s="64" t="s">
        <v>150</v>
      </c>
      <c r="D274" s="64" t="s">
        <v>142</v>
      </c>
      <c r="E274" s="161">
        <v>2</v>
      </c>
    </row>
    <row r="275" spans="1:5">
      <c r="A275" s="160">
        <v>45762</v>
      </c>
      <c r="B275" s="63">
        <v>55</v>
      </c>
      <c r="C275" s="64" t="s">
        <v>146</v>
      </c>
      <c r="D275" s="64" t="s">
        <v>156</v>
      </c>
      <c r="E275" s="161">
        <v>2</v>
      </c>
    </row>
    <row r="276" spans="1:5">
      <c r="A276" s="160">
        <v>45762</v>
      </c>
      <c r="B276" s="63">
        <v>83</v>
      </c>
      <c r="C276" s="64" t="s">
        <v>138</v>
      </c>
      <c r="D276" s="64" t="s">
        <v>148</v>
      </c>
      <c r="E276" s="161">
        <v>4</v>
      </c>
    </row>
    <row r="277" spans="1:5">
      <c r="A277" s="160">
        <v>45762</v>
      </c>
      <c r="B277" s="63">
        <v>18</v>
      </c>
      <c r="C277" s="64" t="s">
        <v>151</v>
      </c>
      <c r="D277" s="64" t="s">
        <v>147</v>
      </c>
      <c r="E277" s="161">
        <v>4</v>
      </c>
    </row>
    <row r="278" spans="1:5">
      <c r="A278" s="160">
        <v>45763</v>
      </c>
      <c r="B278" s="63">
        <v>84</v>
      </c>
      <c r="C278" s="64" t="s">
        <v>141</v>
      </c>
      <c r="D278" s="64" t="s">
        <v>139</v>
      </c>
      <c r="E278" s="161">
        <v>3</v>
      </c>
    </row>
    <row r="279" spans="1:5">
      <c r="A279" s="160">
        <v>45763</v>
      </c>
      <c r="B279" s="63">
        <v>73</v>
      </c>
      <c r="C279" s="64" t="s">
        <v>143</v>
      </c>
      <c r="D279" s="64" t="s">
        <v>153</v>
      </c>
      <c r="E279" s="161">
        <v>3</v>
      </c>
    </row>
    <row r="280" spans="1:5">
      <c r="A280" s="160">
        <v>45764</v>
      </c>
      <c r="B280" s="63">
        <v>5</v>
      </c>
      <c r="C280" s="64" t="s">
        <v>150</v>
      </c>
      <c r="D280" s="64" t="s">
        <v>144</v>
      </c>
      <c r="E280" s="161">
        <v>2</v>
      </c>
    </row>
    <row r="281" spans="1:5">
      <c r="A281" s="160">
        <v>45764</v>
      </c>
      <c r="B281" s="63">
        <v>47</v>
      </c>
      <c r="C281" s="64" t="s">
        <v>146</v>
      </c>
      <c r="D281" s="64" t="s">
        <v>142</v>
      </c>
      <c r="E281" s="161">
        <v>3</v>
      </c>
    </row>
    <row r="282" spans="1:5">
      <c r="A282" s="160">
        <v>45765</v>
      </c>
      <c r="B282" s="63">
        <v>30</v>
      </c>
      <c r="C282" s="64" t="s">
        <v>138</v>
      </c>
      <c r="D282" s="64" t="s">
        <v>156</v>
      </c>
      <c r="E282" s="161">
        <v>4</v>
      </c>
    </row>
    <row r="283" spans="1:5">
      <c r="A283" s="160">
        <v>45769</v>
      </c>
      <c r="B283" s="63">
        <v>36</v>
      </c>
      <c r="C283" s="64" t="s">
        <v>151</v>
      </c>
      <c r="D283" s="64" t="s">
        <v>148</v>
      </c>
      <c r="E283" s="161">
        <v>4</v>
      </c>
    </row>
    <row r="284" spans="1:5">
      <c r="A284" s="160">
        <v>45771</v>
      </c>
      <c r="B284" s="63">
        <v>91</v>
      </c>
      <c r="C284" s="64" t="s">
        <v>141</v>
      </c>
      <c r="D284" s="64" t="s">
        <v>147</v>
      </c>
      <c r="E284" s="161">
        <v>1</v>
      </c>
    </row>
    <row r="285" spans="1:5">
      <c r="A285" s="160">
        <v>45772</v>
      </c>
      <c r="B285" s="63">
        <v>84</v>
      </c>
      <c r="C285" s="64" t="s">
        <v>143</v>
      </c>
      <c r="D285" s="64" t="s">
        <v>139</v>
      </c>
      <c r="E285" s="161">
        <v>1</v>
      </c>
    </row>
    <row r="286" spans="1:5">
      <c r="A286" s="160">
        <v>45772</v>
      </c>
      <c r="B286" s="63">
        <v>91</v>
      </c>
      <c r="C286" s="64" t="s">
        <v>150</v>
      </c>
      <c r="D286" s="64" t="s">
        <v>153</v>
      </c>
      <c r="E286" s="161">
        <v>2</v>
      </c>
    </row>
    <row r="287" spans="1:5">
      <c r="A287" s="160">
        <v>45772</v>
      </c>
      <c r="B287" s="63">
        <v>46</v>
      </c>
      <c r="C287" s="64" t="s">
        <v>146</v>
      </c>
      <c r="D287" s="64" t="s">
        <v>144</v>
      </c>
      <c r="E287" s="161">
        <v>3</v>
      </c>
    </row>
    <row r="288" spans="1:5">
      <c r="A288" s="160">
        <v>45773</v>
      </c>
      <c r="B288" s="63">
        <v>52</v>
      </c>
      <c r="C288" s="64" t="s">
        <v>138</v>
      </c>
      <c r="D288" s="64" t="s">
        <v>142</v>
      </c>
      <c r="E288" s="161">
        <v>2</v>
      </c>
    </row>
    <row r="289" spans="1:5">
      <c r="A289" s="160">
        <v>45774</v>
      </c>
      <c r="B289" s="63">
        <v>87</v>
      </c>
      <c r="C289" s="64" t="s">
        <v>151</v>
      </c>
      <c r="D289" s="64" t="s">
        <v>156</v>
      </c>
      <c r="E289" s="161">
        <v>4</v>
      </c>
    </row>
    <row r="290" spans="1:5">
      <c r="A290" s="160">
        <v>45774</v>
      </c>
      <c r="B290" s="63">
        <v>96</v>
      </c>
      <c r="C290" s="64" t="s">
        <v>141</v>
      </c>
      <c r="D290" s="64" t="s">
        <v>148</v>
      </c>
      <c r="E290" s="161">
        <v>3</v>
      </c>
    </row>
    <row r="291" spans="1:5">
      <c r="A291" s="160">
        <v>45775</v>
      </c>
      <c r="B291" s="63">
        <v>70</v>
      </c>
      <c r="C291" s="64" t="s">
        <v>143</v>
      </c>
      <c r="D291" s="64" t="s">
        <v>147</v>
      </c>
      <c r="E291" s="161">
        <v>1</v>
      </c>
    </row>
    <row r="292" spans="1:5">
      <c r="A292" s="160">
        <v>45776</v>
      </c>
      <c r="B292" s="63">
        <v>5</v>
      </c>
      <c r="C292" s="64" t="s">
        <v>150</v>
      </c>
      <c r="D292" s="64" t="s">
        <v>139</v>
      </c>
      <c r="E292" s="161">
        <v>4</v>
      </c>
    </row>
    <row r="293" spans="1:5">
      <c r="A293" s="160">
        <v>45776</v>
      </c>
      <c r="B293" s="63">
        <v>67</v>
      </c>
      <c r="C293" s="64" t="s">
        <v>146</v>
      </c>
      <c r="D293" s="64" t="s">
        <v>153</v>
      </c>
      <c r="E293" s="161">
        <v>1</v>
      </c>
    </row>
    <row r="294" spans="1:5">
      <c r="A294" s="160">
        <v>45778</v>
      </c>
      <c r="B294" s="63">
        <v>26</v>
      </c>
      <c r="C294" s="64" t="s">
        <v>138</v>
      </c>
      <c r="D294" s="64" t="s">
        <v>144</v>
      </c>
      <c r="E294" s="161">
        <v>3</v>
      </c>
    </row>
    <row r="295" spans="1:5">
      <c r="A295" s="160">
        <v>45779</v>
      </c>
      <c r="B295" s="63">
        <v>46</v>
      </c>
      <c r="C295" s="64" t="s">
        <v>151</v>
      </c>
      <c r="D295" s="64" t="s">
        <v>142</v>
      </c>
      <c r="E295" s="161">
        <v>4</v>
      </c>
    </row>
    <row r="296" spans="1:5">
      <c r="A296" s="160">
        <v>45779</v>
      </c>
      <c r="B296" s="63">
        <v>67</v>
      </c>
      <c r="C296" s="64" t="s">
        <v>141</v>
      </c>
      <c r="D296" s="64" t="s">
        <v>156</v>
      </c>
      <c r="E296" s="161">
        <v>2</v>
      </c>
    </row>
    <row r="297" spans="1:5">
      <c r="A297" s="160">
        <v>45779</v>
      </c>
      <c r="B297" s="63">
        <v>32</v>
      </c>
      <c r="C297" s="64" t="s">
        <v>143</v>
      </c>
      <c r="D297" s="64" t="s">
        <v>148</v>
      </c>
      <c r="E297" s="161">
        <v>4</v>
      </c>
    </row>
    <row r="298" spans="1:5">
      <c r="A298" s="160">
        <v>45780</v>
      </c>
      <c r="B298" s="63">
        <v>97</v>
      </c>
      <c r="C298" s="64" t="s">
        <v>150</v>
      </c>
      <c r="D298" s="64" t="s">
        <v>147</v>
      </c>
      <c r="E298" s="161">
        <v>3</v>
      </c>
    </row>
    <row r="299" spans="1:5">
      <c r="A299" s="160">
        <v>45780</v>
      </c>
      <c r="B299" s="63">
        <v>57</v>
      </c>
      <c r="C299" s="64" t="s">
        <v>146</v>
      </c>
      <c r="D299" s="64" t="s">
        <v>139</v>
      </c>
      <c r="E299" s="161">
        <v>2</v>
      </c>
    </row>
    <row r="300" spans="1:5">
      <c r="A300" s="160">
        <v>45780</v>
      </c>
      <c r="B300" s="63">
        <v>58</v>
      </c>
      <c r="C300" s="64" t="s">
        <v>138</v>
      </c>
      <c r="D300" s="64" t="s">
        <v>153</v>
      </c>
      <c r="E300" s="161">
        <v>3</v>
      </c>
    </row>
    <row r="301" spans="1:5">
      <c r="A301" s="160">
        <v>45780</v>
      </c>
      <c r="B301" s="63">
        <v>29</v>
      </c>
      <c r="C301" s="64" t="s">
        <v>151</v>
      </c>
      <c r="D301" s="64" t="s">
        <v>144</v>
      </c>
      <c r="E301" s="161">
        <v>2</v>
      </c>
    </row>
    <row r="302" spans="1:5">
      <c r="A302" s="160">
        <v>45781</v>
      </c>
      <c r="B302" s="63">
        <v>37</v>
      </c>
      <c r="C302" s="64" t="s">
        <v>141</v>
      </c>
      <c r="D302" s="64" t="s">
        <v>142</v>
      </c>
      <c r="E302" s="161">
        <v>1</v>
      </c>
    </row>
    <row r="303" spans="1:5">
      <c r="A303" s="160">
        <v>45781</v>
      </c>
      <c r="B303" s="63">
        <v>8</v>
      </c>
      <c r="C303" s="64" t="s">
        <v>143</v>
      </c>
      <c r="D303" s="64" t="s">
        <v>156</v>
      </c>
      <c r="E303" s="161">
        <v>2</v>
      </c>
    </row>
    <row r="304" spans="1:5">
      <c r="A304" s="160">
        <v>45782</v>
      </c>
      <c r="B304" s="63">
        <v>28</v>
      </c>
      <c r="C304" s="64" t="s">
        <v>150</v>
      </c>
      <c r="D304" s="64" t="s">
        <v>148</v>
      </c>
      <c r="E304" s="161">
        <v>3</v>
      </c>
    </row>
    <row r="305" spans="1:5">
      <c r="A305" s="160">
        <v>45783</v>
      </c>
      <c r="B305" s="63">
        <v>36</v>
      </c>
      <c r="C305" s="64" t="s">
        <v>146</v>
      </c>
      <c r="D305" s="64" t="s">
        <v>147</v>
      </c>
      <c r="E305" s="161">
        <v>3</v>
      </c>
    </row>
    <row r="306" spans="1:5">
      <c r="A306" s="160">
        <v>45786</v>
      </c>
      <c r="B306" s="63">
        <v>72</v>
      </c>
      <c r="C306" s="64" t="s">
        <v>138</v>
      </c>
      <c r="D306" s="64" t="s">
        <v>139</v>
      </c>
      <c r="E306" s="161">
        <v>2</v>
      </c>
    </row>
    <row r="307" spans="1:5">
      <c r="A307" s="160">
        <v>45787</v>
      </c>
      <c r="B307" s="63">
        <v>47</v>
      </c>
      <c r="C307" s="64" t="s">
        <v>151</v>
      </c>
      <c r="D307" s="64" t="s">
        <v>153</v>
      </c>
      <c r="E307" s="161">
        <v>2</v>
      </c>
    </row>
    <row r="308" spans="1:5">
      <c r="A308" s="160">
        <v>45787</v>
      </c>
      <c r="B308" s="63">
        <v>21</v>
      </c>
      <c r="C308" s="64" t="s">
        <v>141</v>
      </c>
      <c r="D308" s="64" t="s">
        <v>144</v>
      </c>
      <c r="E308" s="161">
        <v>3</v>
      </c>
    </row>
    <row r="309" spans="1:5">
      <c r="A309" s="160">
        <v>45791</v>
      </c>
      <c r="B309" s="63">
        <v>28</v>
      </c>
      <c r="C309" s="64" t="s">
        <v>143</v>
      </c>
      <c r="D309" s="64" t="s">
        <v>142</v>
      </c>
      <c r="E309" s="161">
        <v>4</v>
      </c>
    </row>
    <row r="310" spans="1:5">
      <c r="A310" s="160">
        <v>45791</v>
      </c>
      <c r="B310" s="63">
        <v>6</v>
      </c>
      <c r="C310" s="64" t="s">
        <v>150</v>
      </c>
      <c r="D310" s="64" t="s">
        <v>156</v>
      </c>
      <c r="E310" s="161">
        <v>1</v>
      </c>
    </row>
    <row r="311" spans="1:5">
      <c r="A311" s="160">
        <v>45791</v>
      </c>
      <c r="B311" s="63">
        <v>27</v>
      </c>
      <c r="C311" s="64" t="s">
        <v>146</v>
      </c>
      <c r="D311" s="64" t="s">
        <v>148</v>
      </c>
      <c r="E311" s="161">
        <v>1</v>
      </c>
    </row>
    <row r="312" spans="1:5">
      <c r="A312" s="160">
        <v>45792</v>
      </c>
      <c r="B312" s="63">
        <v>34</v>
      </c>
      <c r="C312" s="64" t="s">
        <v>138</v>
      </c>
      <c r="D312" s="64" t="s">
        <v>147</v>
      </c>
      <c r="E312" s="161">
        <v>1</v>
      </c>
    </row>
    <row r="313" spans="1:5">
      <c r="A313" s="160">
        <v>45792</v>
      </c>
      <c r="B313" s="63">
        <v>95</v>
      </c>
      <c r="C313" s="64" t="s">
        <v>151</v>
      </c>
      <c r="D313" s="64" t="s">
        <v>139</v>
      </c>
      <c r="E313" s="161">
        <v>3</v>
      </c>
    </row>
    <row r="314" spans="1:5">
      <c r="A314" s="160">
        <v>45792</v>
      </c>
      <c r="B314" s="63">
        <v>49</v>
      </c>
      <c r="C314" s="64" t="s">
        <v>141</v>
      </c>
      <c r="D314" s="64" t="s">
        <v>153</v>
      </c>
      <c r="E314" s="161">
        <v>4</v>
      </c>
    </row>
    <row r="315" spans="1:5">
      <c r="A315" s="160">
        <v>45794</v>
      </c>
      <c r="B315" s="63">
        <v>79</v>
      </c>
      <c r="C315" s="64" t="s">
        <v>143</v>
      </c>
      <c r="D315" s="64" t="s">
        <v>144</v>
      </c>
      <c r="E315" s="161">
        <v>4</v>
      </c>
    </row>
    <row r="316" spans="1:5">
      <c r="A316" s="160">
        <v>45795</v>
      </c>
      <c r="B316" s="63">
        <v>12</v>
      </c>
      <c r="C316" s="64" t="s">
        <v>150</v>
      </c>
      <c r="D316" s="64" t="s">
        <v>142</v>
      </c>
      <c r="E316" s="161">
        <v>2</v>
      </c>
    </row>
    <row r="317" spans="1:5">
      <c r="A317" s="160">
        <v>45797</v>
      </c>
      <c r="B317" s="63">
        <v>45</v>
      </c>
      <c r="C317" s="64" t="s">
        <v>146</v>
      </c>
      <c r="D317" s="64" t="s">
        <v>156</v>
      </c>
      <c r="E317" s="161">
        <v>4</v>
      </c>
    </row>
    <row r="318" spans="1:5">
      <c r="A318" s="160">
        <v>45797</v>
      </c>
      <c r="B318" s="63">
        <v>33</v>
      </c>
      <c r="C318" s="64" t="s">
        <v>138</v>
      </c>
      <c r="D318" s="64" t="s">
        <v>148</v>
      </c>
      <c r="E318" s="161">
        <v>4</v>
      </c>
    </row>
    <row r="319" spans="1:5">
      <c r="A319" s="160">
        <v>45800</v>
      </c>
      <c r="B319" s="63">
        <v>91</v>
      </c>
      <c r="C319" s="64" t="s">
        <v>151</v>
      </c>
      <c r="D319" s="64" t="s">
        <v>147</v>
      </c>
      <c r="E319" s="161">
        <v>2</v>
      </c>
    </row>
    <row r="320" spans="1:5">
      <c r="A320" s="160">
        <v>45800</v>
      </c>
      <c r="B320" s="63">
        <v>84</v>
      </c>
      <c r="C320" s="64" t="s">
        <v>141</v>
      </c>
      <c r="D320" s="64" t="s">
        <v>139</v>
      </c>
      <c r="E320" s="161">
        <v>2</v>
      </c>
    </row>
    <row r="321" spans="1:5">
      <c r="A321" s="160">
        <v>45802</v>
      </c>
      <c r="B321" s="63">
        <v>69</v>
      </c>
      <c r="C321" s="64" t="s">
        <v>143</v>
      </c>
      <c r="D321" s="64" t="s">
        <v>153</v>
      </c>
      <c r="E321" s="161">
        <v>3</v>
      </c>
    </row>
    <row r="322" spans="1:5">
      <c r="A322" s="160">
        <v>45804</v>
      </c>
      <c r="B322" s="63">
        <v>97</v>
      </c>
      <c r="C322" s="64" t="s">
        <v>150</v>
      </c>
      <c r="D322" s="64" t="s">
        <v>144</v>
      </c>
      <c r="E322" s="161">
        <v>2</v>
      </c>
    </row>
    <row r="323" spans="1:5">
      <c r="A323" s="160">
        <v>45805</v>
      </c>
      <c r="B323" s="63">
        <v>84</v>
      </c>
      <c r="C323" s="64" t="s">
        <v>146</v>
      </c>
      <c r="D323" s="64" t="s">
        <v>142</v>
      </c>
      <c r="E323" s="161">
        <v>4</v>
      </c>
    </row>
    <row r="324" spans="1:5">
      <c r="A324" s="160">
        <v>45805</v>
      </c>
      <c r="B324" s="63">
        <v>97</v>
      </c>
      <c r="C324" s="64" t="s">
        <v>138</v>
      </c>
      <c r="D324" s="64" t="s">
        <v>156</v>
      </c>
      <c r="E324" s="161">
        <v>3</v>
      </c>
    </row>
    <row r="325" spans="1:5">
      <c r="A325" s="160">
        <v>45805</v>
      </c>
      <c r="B325" s="63">
        <v>16</v>
      </c>
      <c r="C325" s="64" t="s">
        <v>151</v>
      </c>
      <c r="D325" s="64" t="s">
        <v>148</v>
      </c>
      <c r="E325" s="161">
        <v>4</v>
      </c>
    </row>
    <row r="326" spans="1:5">
      <c r="A326" s="160">
        <v>45806</v>
      </c>
      <c r="B326" s="63">
        <v>10</v>
      </c>
      <c r="C326" s="64" t="s">
        <v>141</v>
      </c>
      <c r="D326" s="64" t="s">
        <v>147</v>
      </c>
      <c r="E326" s="161">
        <v>2</v>
      </c>
    </row>
    <row r="327" spans="1:5">
      <c r="A327" s="160">
        <v>45806</v>
      </c>
      <c r="B327" s="63">
        <v>62</v>
      </c>
      <c r="C327" s="64" t="s">
        <v>143</v>
      </c>
      <c r="D327" s="64" t="s">
        <v>139</v>
      </c>
      <c r="E327" s="161">
        <v>1</v>
      </c>
    </row>
    <row r="328" spans="1:5">
      <c r="A328" s="160">
        <v>45806</v>
      </c>
      <c r="B328" s="63">
        <v>15</v>
      </c>
      <c r="C328" s="64" t="s">
        <v>150</v>
      </c>
      <c r="D328" s="64" t="s">
        <v>153</v>
      </c>
      <c r="E328" s="161">
        <v>3</v>
      </c>
    </row>
    <row r="329" spans="1:5">
      <c r="A329" s="160">
        <v>45807</v>
      </c>
      <c r="B329" s="63">
        <v>86</v>
      </c>
      <c r="C329" s="64" t="s">
        <v>146</v>
      </c>
      <c r="D329" s="64" t="s">
        <v>144</v>
      </c>
      <c r="E329" s="161">
        <v>4</v>
      </c>
    </row>
    <row r="330" spans="1:5">
      <c r="A330" s="160">
        <v>45807</v>
      </c>
      <c r="B330" s="63">
        <v>2</v>
      </c>
      <c r="C330" s="64" t="s">
        <v>138</v>
      </c>
      <c r="D330" s="64" t="s">
        <v>142</v>
      </c>
      <c r="E330" s="161">
        <v>3</v>
      </c>
    </row>
    <row r="331" spans="1:5">
      <c r="A331" s="160">
        <v>45808</v>
      </c>
      <c r="B331" s="63">
        <v>2</v>
      </c>
      <c r="C331" s="64" t="s">
        <v>151</v>
      </c>
      <c r="D331" s="64" t="s">
        <v>156</v>
      </c>
      <c r="E331" s="161">
        <v>4</v>
      </c>
    </row>
    <row r="332" spans="1:5">
      <c r="A332" s="160">
        <v>45809</v>
      </c>
      <c r="B332" s="63">
        <v>10</v>
      </c>
      <c r="C332" s="64" t="s">
        <v>141</v>
      </c>
      <c r="D332" s="64" t="s">
        <v>148</v>
      </c>
      <c r="E332" s="161">
        <v>4</v>
      </c>
    </row>
    <row r="333" spans="1:5">
      <c r="A333" s="160">
        <v>45810</v>
      </c>
      <c r="B333" s="63">
        <v>4</v>
      </c>
      <c r="C333" s="64" t="s">
        <v>143</v>
      </c>
      <c r="D333" s="64" t="s">
        <v>147</v>
      </c>
      <c r="E333" s="161">
        <v>1</v>
      </c>
    </row>
    <row r="334" spans="1:5">
      <c r="A334" s="160">
        <v>45811</v>
      </c>
      <c r="B334" s="63">
        <v>29</v>
      </c>
      <c r="C334" s="64" t="s">
        <v>150</v>
      </c>
      <c r="D334" s="64" t="s">
        <v>139</v>
      </c>
      <c r="E334" s="161">
        <v>3</v>
      </c>
    </row>
    <row r="335" spans="1:5">
      <c r="A335" s="160">
        <v>45811</v>
      </c>
      <c r="B335" s="63">
        <v>39</v>
      </c>
      <c r="C335" s="64" t="s">
        <v>146</v>
      </c>
      <c r="D335" s="64" t="s">
        <v>153</v>
      </c>
      <c r="E335" s="161">
        <v>1</v>
      </c>
    </row>
    <row r="336" spans="1:5">
      <c r="A336" s="160">
        <v>45814</v>
      </c>
      <c r="B336" s="63">
        <v>6</v>
      </c>
      <c r="C336" s="64" t="s">
        <v>138</v>
      </c>
      <c r="D336" s="64" t="s">
        <v>144</v>
      </c>
      <c r="E336" s="161">
        <v>3</v>
      </c>
    </row>
    <row r="337" spans="1:5">
      <c r="A337" s="160">
        <v>45815</v>
      </c>
      <c r="B337" s="63">
        <v>32</v>
      </c>
      <c r="C337" s="64" t="s">
        <v>151</v>
      </c>
      <c r="D337" s="64" t="s">
        <v>142</v>
      </c>
      <c r="E337" s="161">
        <v>1</v>
      </c>
    </row>
    <row r="338" spans="1:5">
      <c r="A338" s="160">
        <v>45816</v>
      </c>
      <c r="B338" s="63">
        <v>33</v>
      </c>
      <c r="C338" s="64" t="s">
        <v>141</v>
      </c>
      <c r="D338" s="64" t="s">
        <v>156</v>
      </c>
      <c r="E338" s="161">
        <v>2</v>
      </c>
    </row>
    <row r="339" spans="1:5">
      <c r="A339" s="160">
        <v>45817</v>
      </c>
      <c r="B339" s="63">
        <v>50</v>
      </c>
      <c r="C339" s="64" t="s">
        <v>143</v>
      </c>
      <c r="D339" s="64" t="s">
        <v>148</v>
      </c>
      <c r="E339" s="161">
        <v>2</v>
      </c>
    </row>
    <row r="340" spans="1:5">
      <c r="A340" s="160">
        <v>45817</v>
      </c>
      <c r="B340" s="63">
        <v>43</v>
      </c>
      <c r="C340" s="64" t="s">
        <v>150</v>
      </c>
      <c r="D340" s="64" t="s">
        <v>147</v>
      </c>
      <c r="E340" s="161">
        <v>4</v>
      </c>
    </row>
    <row r="341" spans="1:5">
      <c r="A341" s="160">
        <v>45817</v>
      </c>
      <c r="B341" s="63">
        <v>15</v>
      </c>
      <c r="C341" s="64" t="s">
        <v>146</v>
      </c>
      <c r="D341" s="64" t="s">
        <v>139</v>
      </c>
      <c r="E341" s="161">
        <v>2</v>
      </c>
    </row>
    <row r="342" spans="1:5">
      <c r="A342" s="160">
        <v>45819</v>
      </c>
      <c r="B342" s="63">
        <v>2</v>
      </c>
      <c r="C342" s="64" t="s">
        <v>138</v>
      </c>
      <c r="D342" s="64" t="s">
        <v>153</v>
      </c>
      <c r="E342" s="161">
        <v>3</v>
      </c>
    </row>
    <row r="343" spans="1:5">
      <c r="A343" s="160">
        <v>45820</v>
      </c>
      <c r="B343" s="63">
        <v>20</v>
      </c>
      <c r="C343" s="64" t="s">
        <v>151</v>
      </c>
      <c r="D343" s="64" t="s">
        <v>144</v>
      </c>
      <c r="E343" s="161">
        <v>2</v>
      </c>
    </row>
    <row r="344" spans="1:5">
      <c r="A344" s="160">
        <v>45820</v>
      </c>
      <c r="B344" s="63">
        <v>6</v>
      </c>
      <c r="C344" s="64" t="s">
        <v>141</v>
      </c>
      <c r="D344" s="64" t="s">
        <v>142</v>
      </c>
      <c r="E344" s="161">
        <v>3</v>
      </c>
    </row>
    <row r="345" spans="1:5">
      <c r="A345" s="160">
        <v>45820</v>
      </c>
      <c r="B345" s="63">
        <v>68</v>
      </c>
      <c r="C345" s="64" t="s">
        <v>143</v>
      </c>
      <c r="D345" s="64" t="s">
        <v>156</v>
      </c>
      <c r="E345" s="161">
        <v>1</v>
      </c>
    </row>
    <row r="346" spans="1:5">
      <c r="A346" s="160">
        <v>45820</v>
      </c>
      <c r="B346" s="63">
        <v>95</v>
      </c>
      <c r="C346" s="64" t="s">
        <v>150</v>
      </c>
      <c r="D346" s="64" t="s">
        <v>148</v>
      </c>
      <c r="E346" s="161">
        <v>3</v>
      </c>
    </row>
    <row r="347" spans="1:5">
      <c r="A347" s="160">
        <v>45821</v>
      </c>
      <c r="B347" s="63">
        <v>24</v>
      </c>
      <c r="C347" s="64" t="s">
        <v>146</v>
      </c>
      <c r="D347" s="64" t="s">
        <v>147</v>
      </c>
      <c r="E347" s="161">
        <v>2</v>
      </c>
    </row>
    <row r="348" spans="1:5">
      <c r="A348" s="160">
        <v>45821</v>
      </c>
      <c r="B348" s="63">
        <v>71</v>
      </c>
      <c r="C348" s="64" t="s">
        <v>138</v>
      </c>
      <c r="D348" s="64" t="s">
        <v>139</v>
      </c>
      <c r="E348" s="161">
        <v>4</v>
      </c>
    </row>
    <row r="349" spans="1:5">
      <c r="A349" s="160">
        <v>45822</v>
      </c>
      <c r="B349" s="63">
        <v>81</v>
      </c>
      <c r="C349" s="64" t="s">
        <v>151</v>
      </c>
      <c r="D349" s="64" t="s">
        <v>153</v>
      </c>
      <c r="E349" s="161">
        <v>4</v>
      </c>
    </row>
    <row r="350" spans="1:5">
      <c r="A350" s="160">
        <v>45825</v>
      </c>
      <c r="B350" s="63">
        <v>89</v>
      </c>
      <c r="C350" s="64" t="s">
        <v>141</v>
      </c>
      <c r="D350" s="64" t="s">
        <v>144</v>
      </c>
      <c r="E350" s="161">
        <v>3</v>
      </c>
    </row>
    <row r="351" spans="1:5">
      <c r="A351" s="160">
        <v>45826</v>
      </c>
      <c r="B351" s="63">
        <v>43</v>
      </c>
      <c r="C351" s="64" t="s">
        <v>143</v>
      </c>
      <c r="D351" s="64" t="s">
        <v>142</v>
      </c>
      <c r="E351" s="161">
        <v>3</v>
      </c>
    </row>
    <row r="352" spans="1:5">
      <c r="A352" s="160">
        <v>45826</v>
      </c>
      <c r="B352" s="63">
        <v>49</v>
      </c>
      <c r="C352" s="64" t="s">
        <v>150</v>
      </c>
      <c r="D352" s="64" t="s">
        <v>156</v>
      </c>
      <c r="E352" s="161">
        <v>4</v>
      </c>
    </row>
    <row r="353" spans="1:5">
      <c r="A353" s="160">
        <v>45827</v>
      </c>
      <c r="B353" s="63">
        <v>94</v>
      </c>
      <c r="C353" s="64" t="s">
        <v>146</v>
      </c>
      <c r="D353" s="64" t="s">
        <v>148</v>
      </c>
      <c r="E353" s="161">
        <v>2</v>
      </c>
    </row>
    <row r="354" spans="1:5">
      <c r="A354" s="160">
        <v>45828</v>
      </c>
      <c r="B354" s="63">
        <v>49</v>
      </c>
      <c r="C354" s="64" t="s">
        <v>138</v>
      </c>
      <c r="D354" s="64" t="s">
        <v>147</v>
      </c>
      <c r="E354" s="161">
        <v>3</v>
      </c>
    </row>
    <row r="355" spans="1:5">
      <c r="A355" s="160">
        <v>45829</v>
      </c>
      <c r="B355" s="63">
        <v>97</v>
      </c>
      <c r="C355" s="64" t="s">
        <v>151</v>
      </c>
      <c r="D355" s="64" t="s">
        <v>139</v>
      </c>
      <c r="E355" s="161">
        <v>4</v>
      </c>
    </row>
    <row r="356" spans="1:5">
      <c r="A356" s="160">
        <v>45830</v>
      </c>
      <c r="B356" s="63">
        <v>33</v>
      </c>
      <c r="C356" s="64" t="s">
        <v>141</v>
      </c>
      <c r="D356" s="64" t="s">
        <v>153</v>
      </c>
      <c r="E356" s="161">
        <v>3</v>
      </c>
    </row>
    <row r="357" spans="1:5">
      <c r="A357" s="160">
        <v>45830</v>
      </c>
      <c r="B357" s="63">
        <v>85</v>
      </c>
      <c r="C357" s="64" t="s">
        <v>143</v>
      </c>
      <c r="D357" s="64" t="s">
        <v>144</v>
      </c>
      <c r="E357" s="161">
        <v>1</v>
      </c>
    </row>
    <row r="358" spans="1:5">
      <c r="A358" s="160">
        <v>45831</v>
      </c>
      <c r="B358" s="63">
        <v>24</v>
      </c>
      <c r="C358" s="64" t="s">
        <v>150</v>
      </c>
      <c r="D358" s="64" t="s">
        <v>142</v>
      </c>
      <c r="E358" s="161">
        <v>1</v>
      </c>
    </row>
    <row r="359" spans="1:5">
      <c r="A359" s="160">
        <v>45831</v>
      </c>
      <c r="B359" s="63">
        <v>30</v>
      </c>
      <c r="C359" s="64" t="s">
        <v>146</v>
      </c>
      <c r="D359" s="64" t="s">
        <v>156</v>
      </c>
      <c r="E359" s="161">
        <v>1</v>
      </c>
    </row>
    <row r="360" spans="1:5">
      <c r="A360" s="160">
        <v>45832</v>
      </c>
      <c r="B360" s="63">
        <v>31</v>
      </c>
      <c r="C360" s="64" t="s">
        <v>138</v>
      </c>
      <c r="D360" s="64" t="s">
        <v>148</v>
      </c>
      <c r="E360" s="161">
        <v>2</v>
      </c>
    </row>
    <row r="361" spans="1:5">
      <c r="A361" s="160">
        <v>45832</v>
      </c>
      <c r="B361" s="63">
        <v>100</v>
      </c>
      <c r="C361" s="64" t="s">
        <v>151</v>
      </c>
      <c r="D361" s="64" t="s">
        <v>147</v>
      </c>
      <c r="E361" s="161">
        <v>1</v>
      </c>
    </row>
    <row r="362" spans="1:5">
      <c r="A362" s="160">
        <v>45833</v>
      </c>
      <c r="B362" s="63">
        <v>79</v>
      </c>
      <c r="C362" s="64" t="s">
        <v>141</v>
      </c>
      <c r="D362" s="64" t="s">
        <v>139</v>
      </c>
      <c r="E362" s="161">
        <v>1</v>
      </c>
    </row>
    <row r="363" spans="1:5">
      <c r="A363" s="160">
        <v>45834</v>
      </c>
      <c r="B363" s="63">
        <v>18</v>
      </c>
      <c r="C363" s="64" t="s">
        <v>143</v>
      </c>
      <c r="D363" s="64" t="s">
        <v>153</v>
      </c>
      <c r="E363" s="161">
        <v>1</v>
      </c>
    </row>
    <row r="364" spans="1:5">
      <c r="A364" s="160">
        <v>45835</v>
      </c>
      <c r="B364" s="63">
        <v>68</v>
      </c>
      <c r="C364" s="64" t="s">
        <v>150</v>
      </c>
      <c r="D364" s="64" t="s">
        <v>144</v>
      </c>
      <c r="E364" s="161">
        <v>4</v>
      </c>
    </row>
    <row r="365" spans="1:5">
      <c r="A365" s="160">
        <v>45836</v>
      </c>
      <c r="B365" s="63">
        <v>1</v>
      </c>
      <c r="C365" s="64" t="s">
        <v>146</v>
      </c>
      <c r="D365" s="64" t="s">
        <v>142</v>
      </c>
      <c r="E365" s="161">
        <v>2</v>
      </c>
    </row>
    <row r="366" spans="1:5">
      <c r="A366" s="160">
        <v>45836</v>
      </c>
      <c r="B366" s="63">
        <v>44</v>
      </c>
      <c r="C366" s="64" t="s">
        <v>138</v>
      </c>
      <c r="D366" s="64" t="s">
        <v>156</v>
      </c>
      <c r="E366" s="161">
        <v>1</v>
      </c>
    </row>
    <row r="367" spans="1:5">
      <c r="A367" s="160">
        <v>45836</v>
      </c>
      <c r="B367" s="63">
        <v>53</v>
      </c>
      <c r="C367" s="64" t="s">
        <v>151</v>
      </c>
      <c r="D367" s="64" t="s">
        <v>148</v>
      </c>
      <c r="E367" s="161">
        <v>1</v>
      </c>
    </row>
    <row r="368" spans="1:5">
      <c r="A368" s="160">
        <v>45837</v>
      </c>
      <c r="B368" s="63">
        <v>2</v>
      </c>
      <c r="C368" s="64" t="s">
        <v>141</v>
      </c>
      <c r="D368" s="64" t="s">
        <v>147</v>
      </c>
      <c r="E368" s="161">
        <v>1</v>
      </c>
    </row>
    <row r="369" spans="1:5">
      <c r="A369" s="160">
        <v>45837</v>
      </c>
      <c r="B369" s="63">
        <v>11</v>
      </c>
      <c r="C369" s="64" t="s">
        <v>143</v>
      </c>
      <c r="D369" s="64" t="s">
        <v>139</v>
      </c>
      <c r="E369" s="161">
        <v>4</v>
      </c>
    </row>
    <row r="370" spans="1:5">
      <c r="A370" s="160">
        <v>45838</v>
      </c>
      <c r="B370" s="63">
        <v>12</v>
      </c>
      <c r="C370" s="64" t="s">
        <v>150</v>
      </c>
      <c r="D370" s="64" t="s">
        <v>153</v>
      </c>
      <c r="E370" s="161">
        <v>1</v>
      </c>
    </row>
    <row r="371" spans="1:5">
      <c r="A371" s="160">
        <v>45838</v>
      </c>
      <c r="B371" s="63">
        <v>99</v>
      </c>
      <c r="C371" s="64" t="s">
        <v>146</v>
      </c>
      <c r="D371" s="64" t="s">
        <v>144</v>
      </c>
      <c r="E371" s="161">
        <v>1</v>
      </c>
    </row>
    <row r="372" spans="1:5">
      <c r="A372" s="160">
        <v>45840</v>
      </c>
      <c r="B372" s="63">
        <v>14</v>
      </c>
      <c r="C372" s="64" t="s">
        <v>138</v>
      </c>
      <c r="D372" s="64" t="s">
        <v>142</v>
      </c>
      <c r="E372" s="161">
        <v>1</v>
      </c>
    </row>
    <row r="373" spans="1:5">
      <c r="A373" s="160">
        <v>45842</v>
      </c>
      <c r="B373" s="63">
        <v>39</v>
      </c>
      <c r="C373" s="64" t="s">
        <v>151</v>
      </c>
      <c r="D373" s="64" t="s">
        <v>156</v>
      </c>
      <c r="E373" s="161">
        <v>2</v>
      </c>
    </row>
    <row r="374" spans="1:5">
      <c r="A374" s="160">
        <v>45842</v>
      </c>
      <c r="B374" s="63">
        <v>49</v>
      </c>
      <c r="C374" s="64" t="s">
        <v>141</v>
      </c>
      <c r="D374" s="64" t="s">
        <v>148</v>
      </c>
      <c r="E374" s="161">
        <v>4</v>
      </c>
    </row>
    <row r="375" spans="1:5">
      <c r="A375" s="160">
        <v>45843</v>
      </c>
      <c r="B375" s="63">
        <v>43</v>
      </c>
      <c r="C375" s="64" t="s">
        <v>143</v>
      </c>
      <c r="D375" s="64" t="s">
        <v>147</v>
      </c>
      <c r="E375" s="161">
        <v>2</v>
      </c>
    </row>
    <row r="376" spans="1:5">
      <c r="A376" s="160">
        <v>45846</v>
      </c>
      <c r="B376" s="63">
        <v>72</v>
      </c>
      <c r="C376" s="64" t="s">
        <v>150</v>
      </c>
      <c r="D376" s="64" t="s">
        <v>139</v>
      </c>
      <c r="E376" s="161">
        <v>2</v>
      </c>
    </row>
    <row r="377" spans="1:5">
      <c r="A377" s="160">
        <v>45846</v>
      </c>
      <c r="B377" s="63">
        <v>50</v>
      </c>
      <c r="C377" s="64" t="s">
        <v>146</v>
      </c>
      <c r="D377" s="64" t="s">
        <v>153</v>
      </c>
      <c r="E377" s="161">
        <v>3</v>
      </c>
    </row>
    <row r="378" spans="1:5">
      <c r="A378" s="160">
        <v>45847</v>
      </c>
      <c r="B378" s="63">
        <v>81</v>
      </c>
      <c r="C378" s="64" t="s">
        <v>138</v>
      </c>
      <c r="D378" s="64" t="s">
        <v>144</v>
      </c>
      <c r="E378" s="161">
        <v>3</v>
      </c>
    </row>
    <row r="379" spans="1:5">
      <c r="A379" s="160">
        <v>45847</v>
      </c>
      <c r="B379" s="63">
        <v>85</v>
      </c>
      <c r="C379" s="64" t="s">
        <v>151</v>
      </c>
      <c r="D379" s="64" t="s">
        <v>142</v>
      </c>
      <c r="E379" s="161">
        <v>2</v>
      </c>
    </row>
    <row r="380" spans="1:5">
      <c r="A380" s="160">
        <v>45847</v>
      </c>
      <c r="B380" s="63">
        <v>65</v>
      </c>
      <c r="C380" s="64" t="s">
        <v>141</v>
      </c>
      <c r="D380" s="64" t="s">
        <v>156</v>
      </c>
      <c r="E380" s="161">
        <v>3</v>
      </c>
    </row>
    <row r="381" spans="1:5">
      <c r="A381" s="160">
        <v>45848</v>
      </c>
      <c r="B381" s="63">
        <v>17</v>
      </c>
      <c r="C381" s="64" t="s">
        <v>143</v>
      </c>
      <c r="D381" s="64" t="s">
        <v>148</v>
      </c>
      <c r="E381" s="161">
        <v>4</v>
      </c>
    </row>
    <row r="382" spans="1:5">
      <c r="A382" s="160">
        <v>45848</v>
      </c>
      <c r="B382" s="63">
        <v>7</v>
      </c>
      <c r="C382" s="64" t="s">
        <v>150</v>
      </c>
      <c r="D382" s="64" t="s">
        <v>147</v>
      </c>
      <c r="E382" s="161">
        <v>2</v>
      </c>
    </row>
    <row r="383" spans="1:5">
      <c r="A383" s="160">
        <v>45848</v>
      </c>
      <c r="B383" s="63">
        <v>76</v>
      </c>
      <c r="C383" s="64" t="s">
        <v>146</v>
      </c>
      <c r="D383" s="64" t="s">
        <v>139</v>
      </c>
      <c r="E383" s="161">
        <v>3</v>
      </c>
    </row>
    <row r="384" spans="1:5">
      <c r="A384" s="160">
        <v>45849</v>
      </c>
      <c r="B384" s="63">
        <v>26</v>
      </c>
      <c r="C384" s="64" t="s">
        <v>138</v>
      </c>
      <c r="D384" s="64" t="s">
        <v>153</v>
      </c>
      <c r="E384" s="161">
        <v>4</v>
      </c>
    </row>
    <row r="385" spans="1:5">
      <c r="A385" s="160">
        <v>45850</v>
      </c>
      <c r="B385" s="63">
        <v>10</v>
      </c>
      <c r="C385" s="64" t="s">
        <v>151</v>
      </c>
      <c r="D385" s="64" t="s">
        <v>144</v>
      </c>
      <c r="E385" s="161">
        <v>2</v>
      </c>
    </row>
    <row r="386" spans="1:5">
      <c r="A386" s="160">
        <v>45850</v>
      </c>
      <c r="B386" s="63">
        <v>55</v>
      </c>
      <c r="C386" s="64" t="s">
        <v>141</v>
      </c>
      <c r="D386" s="64" t="s">
        <v>142</v>
      </c>
      <c r="E386" s="161">
        <v>4</v>
      </c>
    </row>
    <row r="387" spans="1:5">
      <c r="A387" s="160">
        <v>45850</v>
      </c>
      <c r="B387" s="63">
        <v>51</v>
      </c>
      <c r="C387" s="64" t="s">
        <v>143</v>
      </c>
      <c r="D387" s="64" t="s">
        <v>156</v>
      </c>
      <c r="E387" s="161">
        <v>4</v>
      </c>
    </row>
    <row r="388" spans="1:5">
      <c r="A388" s="160">
        <v>45851</v>
      </c>
      <c r="B388" s="63">
        <v>20</v>
      </c>
      <c r="C388" s="64" t="s">
        <v>150</v>
      </c>
      <c r="D388" s="64" t="s">
        <v>148</v>
      </c>
      <c r="E388" s="161">
        <v>4</v>
      </c>
    </row>
    <row r="389" spans="1:5">
      <c r="A389" s="160">
        <v>45851</v>
      </c>
      <c r="B389" s="63">
        <v>35</v>
      </c>
      <c r="C389" s="64" t="s">
        <v>146</v>
      </c>
      <c r="D389" s="64" t="s">
        <v>147</v>
      </c>
      <c r="E389" s="161">
        <v>2</v>
      </c>
    </row>
    <row r="390" spans="1:5">
      <c r="A390" s="160">
        <v>45852</v>
      </c>
      <c r="B390" s="63">
        <v>40</v>
      </c>
      <c r="C390" s="64" t="s">
        <v>138</v>
      </c>
      <c r="D390" s="64" t="s">
        <v>139</v>
      </c>
      <c r="E390" s="161">
        <v>1</v>
      </c>
    </row>
    <row r="391" spans="1:5">
      <c r="A391" s="160">
        <v>45853</v>
      </c>
      <c r="B391" s="63">
        <v>57</v>
      </c>
      <c r="C391" s="64" t="s">
        <v>151</v>
      </c>
      <c r="D391" s="64" t="s">
        <v>153</v>
      </c>
      <c r="E391" s="161">
        <v>1</v>
      </c>
    </row>
    <row r="392" spans="1:5">
      <c r="A392" s="160">
        <v>45854</v>
      </c>
      <c r="B392" s="63">
        <v>88</v>
      </c>
      <c r="C392" s="64" t="s">
        <v>141</v>
      </c>
      <c r="D392" s="64" t="s">
        <v>144</v>
      </c>
      <c r="E392" s="161">
        <v>2</v>
      </c>
    </row>
    <row r="393" spans="1:5">
      <c r="A393" s="160">
        <v>45858</v>
      </c>
      <c r="B393" s="63">
        <v>52</v>
      </c>
      <c r="C393" s="64" t="s">
        <v>143</v>
      </c>
      <c r="D393" s="64" t="s">
        <v>142</v>
      </c>
      <c r="E393" s="161">
        <v>1</v>
      </c>
    </row>
    <row r="394" spans="1:5">
      <c r="A394" s="160">
        <v>45859</v>
      </c>
      <c r="B394" s="63">
        <v>98</v>
      </c>
      <c r="C394" s="64" t="s">
        <v>150</v>
      </c>
      <c r="D394" s="64" t="s">
        <v>156</v>
      </c>
      <c r="E394" s="161">
        <v>1</v>
      </c>
    </row>
    <row r="395" spans="1:5">
      <c r="A395" s="160">
        <v>45859</v>
      </c>
      <c r="B395" s="63">
        <v>78</v>
      </c>
      <c r="C395" s="64" t="s">
        <v>146</v>
      </c>
      <c r="D395" s="64" t="s">
        <v>148</v>
      </c>
      <c r="E395" s="161">
        <v>1</v>
      </c>
    </row>
    <row r="396" spans="1:5">
      <c r="A396" s="160">
        <v>45864</v>
      </c>
      <c r="B396" s="63">
        <v>57</v>
      </c>
      <c r="C396" s="64" t="s">
        <v>138</v>
      </c>
      <c r="D396" s="64" t="s">
        <v>147</v>
      </c>
      <c r="E396" s="161">
        <v>4</v>
      </c>
    </row>
    <row r="397" spans="1:5">
      <c r="A397" s="160">
        <v>45864</v>
      </c>
      <c r="B397" s="63">
        <v>29</v>
      </c>
      <c r="C397" s="64" t="s">
        <v>151</v>
      </c>
      <c r="D397" s="64" t="s">
        <v>139</v>
      </c>
      <c r="E397" s="161">
        <v>2</v>
      </c>
    </row>
    <row r="398" spans="1:5">
      <c r="A398" s="160">
        <v>45865</v>
      </c>
      <c r="B398" s="63">
        <v>91</v>
      </c>
      <c r="C398" s="64" t="s">
        <v>141</v>
      </c>
      <c r="D398" s="64" t="s">
        <v>153</v>
      </c>
      <c r="E398" s="161">
        <v>2</v>
      </c>
    </row>
    <row r="399" spans="1:5">
      <c r="A399" s="160">
        <v>45867</v>
      </c>
      <c r="B399" s="63">
        <v>47</v>
      </c>
      <c r="C399" s="64" t="s">
        <v>143</v>
      </c>
      <c r="D399" s="64" t="s">
        <v>144</v>
      </c>
      <c r="E399" s="161">
        <v>4</v>
      </c>
    </row>
    <row r="400" spans="1:5">
      <c r="A400" s="160">
        <v>45867</v>
      </c>
      <c r="B400" s="63">
        <v>17</v>
      </c>
      <c r="C400" s="64" t="s">
        <v>150</v>
      </c>
      <c r="D400" s="64" t="s">
        <v>142</v>
      </c>
      <c r="E400" s="161">
        <v>2</v>
      </c>
    </row>
    <row r="401" spans="1:5">
      <c r="A401" s="160">
        <v>45868</v>
      </c>
      <c r="B401" s="63">
        <v>35</v>
      </c>
      <c r="C401" s="64" t="s">
        <v>146</v>
      </c>
      <c r="D401" s="64" t="s">
        <v>156</v>
      </c>
      <c r="E401" s="161">
        <v>2</v>
      </c>
    </row>
    <row r="402" spans="1:5">
      <c r="A402" s="160">
        <v>45869</v>
      </c>
      <c r="B402" s="63">
        <v>25</v>
      </c>
      <c r="C402" s="64" t="s">
        <v>138</v>
      </c>
      <c r="D402" s="64" t="s">
        <v>148</v>
      </c>
      <c r="E402" s="161">
        <v>1</v>
      </c>
    </row>
    <row r="403" spans="1:5">
      <c r="A403" s="160">
        <v>45869</v>
      </c>
      <c r="B403" s="63">
        <v>2</v>
      </c>
      <c r="C403" s="64" t="s">
        <v>151</v>
      </c>
      <c r="D403" s="64" t="s">
        <v>147</v>
      </c>
      <c r="E403" s="161">
        <v>1</v>
      </c>
    </row>
    <row r="404" spans="1:5">
      <c r="A404" s="160">
        <v>45870</v>
      </c>
      <c r="B404" s="63">
        <v>52</v>
      </c>
      <c r="C404" s="64" t="s">
        <v>141</v>
      </c>
      <c r="D404" s="64" t="s">
        <v>139</v>
      </c>
      <c r="E404" s="161">
        <v>3</v>
      </c>
    </row>
    <row r="405" spans="1:5">
      <c r="A405" s="160">
        <v>45874</v>
      </c>
      <c r="B405" s="63">
        <v>21</v>
      </c>
      <c r="C405" s="64" t="s">
        <v>143</v>
      </c>
      <c r="D405" s="64" t="s">
        <v>153</v>
      </c>
      <c r="E405" s="161">
        <v>1</v>
      </c>
    </row>
    <row r="406" spans="1:5">
      <c r="A406" s="160">
        <v>45874</v>
      </c>
      <c r="B406" s="63">
        <v>14</v>
      </c>
      <c r="C406" s="64" t="s">
        <v>150</v>
      </c>
      <c r="D406" s="64" t="s">
        <v>144</v>
      </c>
      <c r="E406" s="161">
        <v>1</v>
      </c>
    </row>
    <row r="407" spans="1:5">
      <c r="A407" s="160">
        <v>45876</v>
      </c>
      <c r="B407" s="63">
        <v>71</v>
      </c>
      <c r="C407" s="64" t="s">
        <v>146</v>
      </c>
      <c r="D407" s="64" t="s">
        <v>142</v>
      </c>
      <c r="E407" s="161">
        <v>4</v>
      </c>
    </row>
    <row r="408" spans="1:5">
      <c r="A408" s="160">
        <v>45876</v>
      </c>
      <c r="B408" s="63">
        <v>1</v>
      </c>
      <c r="C408" s="64" t="s">
        <v>138</v>
      </c>
      <c r="D408" s="64" t="s">
        <v>156</v>
      </c>
      <c r="E408" s="161">
        <v>3</v>
      </c>
    </row>
    <row r="409" spans="1:5">
      <c r="A409" s="160">
        <v>45877</v>
      </c>
      <c r="B409" s="63">
        <v>91</v>
      </c>
      <c r="C409" s="64" t="s">
        <v>151</v>
      </c>
      <c r="D409" s="64" t="s">
        <v>148</v>
      </c>
      <c r="E409" s="161">
        <v>4</v>
      </c>
    </row>
    <row r="410" spans="1:5">
      <c r="A410" s="160">
        <v>45877</v>
      </c>
      <c r="B410" s="63">
        <v>17</v>
      </c>
      <c r="C410" s="64" t="s">
        <v>141</v>
      </c>
      <c r="D410" s="64" t="s">
        <v>147</v>
      </c>
      <c r="E410" s="161">
        <v>4</v>
      </c>
    </row>
    <row r="411" spans="1:5">
      <c r="A411" s="160">
        <v>45879</v>
      </c>
      <c r="B411" s="63">
        <v>2</v>
      </c>
      <c r="C411" s="64" t="s">
        <v>143</v>
      </c>
      <c r="D411" s="64" t="s">
        <v>139</v>
      </c>
      <c r="E411" s="161">
        <v>1</v>
      </c>
    </row>
    <row r="412" spans="1:5">
      <c r="A412" s="160">
        <v>45879</v>
      </c>
      <c r="B412" s="63">
        <v>8</v>
      </c>
      <c r="C412" s="64" t="s">
        <v>150</v>
      </c>
      <c r="D412" s="64" t="s">
        <v>153</v>
      </c>
      <c r="E412" s="161">
        <v>3</v>
      </c>
    </row>
    <row r="413" spans="1:5">
      <c r="A413" s="160">
        <v>45880</v>
      </c>
      <c r="B413" s="63">
        <v>75</v>
      </c>
      <c r="C413" s="64" t="s">
        <v>146</v>
      </c>
      <c r="D413" s="64" t="s">
        <v>144</v>
      </c>
      <c r="E413" s="161">
        <v>3</v>
      </c>
    </row>
    <row r="414" spans="1:5">
      <c r="A414" s="160">
        <v>45881</v>
      </c>
      <c r="B414" s="63">
        <v>34</v>
      </c>
      <c r="C414" s="64" t="s">
        <v>138</v>
      </c>
      <c r="D414" s="64" t="s">
        <v>142</v>
      </c>
      <c r="E414" s="161">
        <v>3</v>
      </c>
    </row>
    <row r="415" spans="1:5">
      <c r="A415" s="160">
        <v>45883</v>
      </c>
      <c r="B415" s="63">
        <v>75</v>
      </c>
      <c r="C415" s="64" t="s">
        <v>151</v>
      </c>
      <c r="D415" s="64" t="s">
        <v>156</v>
      </c>
      <c r="E415" s="161">
        <v>1</v>
      </c>
    </row>
    <row r="416" spans="1:5">
      <c r="A416" s="160">
        <v>45884</v>
      </c>
      <c r="B416" s="63">
        <v>6</v>
      </c>
      <c r="C416" s="64" t="s">
        <v>141</v>
      </c>
      <c r="D416" s="64" t="s">
        <v>148</v>
      </c>
      <c r="E416" s="161">
        <v>3</v>
      </c>
    </row>
    <row r="417" spans="1:5">
      <c r="A417" s="160">
        <v>45885</v>
      </c>
      <c r="B417" s="63">
        <v>51</v>
      </c>
      <c r="C417" s="64" t="s">
        <v>143</v>
      </c>
      <c r="D417" s="64" t="s">
        <v>147</v>
      </c>
      <c r="E417" s="161">
        <v>4</v>
      </c>
    </row>
    <row r="418" spans="1:5">
      <c r="A418" s="160">
        <v>45886</v>
      </c>
      <c r="B418" s="63">
        <v>48</v>
      </c>
      <c r="C418" s="64" t="s">
        <v>150</v>
      </c>
      <c r="D418" s="64" t="s">
        <v>139</v>
      </c>
      <c r="E418" s="161">
        <v>3</v>
      </c>
    </row>
    <row r="419" spans="1:5">
      <c r="A419" s="160">
        <v>45888</v>
      </c>
      <c r="B419" s="63">
        <v>18</v>
      </c>
      <c r="C419" s="64" t="s">
        <v>146</v>
      </c>
      <c r="D419" s="64" t="s">
        <v>153</v>
      </c>
      <c r="E419" s="161">
        <v>3</v>
      </c>
    </row>
    <row r="420" spans="1:5">
      <c r="A420" s="160">
        <v>45889</v>
      </c>
      <c r="B420" s="63">
        <v>21</v>
      </c>
      <c r="C420" s="64" t="s">
        <v>138</v>
      </c>
      <c r="D420" s="64" t="s">
        <v>144</v>
      </c>
      <c r="E420" s="161">
        <v>1</v>
      </c>
    </row>
    <row r="421" spans="1:5">
      <c r="A421" s="160">
        <v>45889</v>
      </c>
      <c r="B421" s="63">
        <v>98</v>
      </c>
      <c r="C421" s="64" t="s">
        <v>151</v>
      </c>
      <c r="D421" s="64" t="s">
        <v>142</v>
      </c>
      <c r="E421" s="161">
        <v>4</v>
      </c>
    </row>
    <row r="422" spans="1:5">
      <c r="A422" s="160">
        <v>45890</v>
      </c>
      <c r="B422" s="63">
        <v>47</v>
      </c>
      <c r="C422" s="64" t="s">
        <v>141</v>
      </c>
      <c r="D422" s="64" t="s">
        <v>156</v>
      </c>
      <c r="E422" s="161">
        <v>2</v>
      </c>
    </row>
    <row r="423" spans="1:5">
      <c r="A423" s="160">
        <v>45892</v>
      </c>
      <c r="B423" s="63">
        <v>18</v>
      </c>
      <c r="C423" s="64" t="s">
        <v>143</v>
      </c>
      <c r="D423" s="64" t="s">
        <v>148</v>
      </c>
      <c r="E423" s="161">
        <v>1</v>
      </c>
    </row>
    <row r="424" spans="1:5">
      <c r="A424" s="160">
        <v>45892</v>
      </c>
      <c r="B424" s="63">
        <v>81</v>
      </c>
      <c r="C424" s="64" t="s">
        <v>150</v>
      </c>
      <c r="D424" s="64" t="s">
        <v>147</v>
      </c>
      <c r="E424" s="161">
        <v>1</v>
      </c>
    </row>
    <row r="425" spans="1:5">
      <c r="A425" s="160">
        <v>45893</v>
      </c>
      <c r="B425" s="63">
        <v>23</v>
      </c>
      <c r="C425" s="64" t="s">
        <v>146</v>
      </c>
      <c r="D425" s="64" t="s">
        <v>139</v>
      </c>
      <c r="E425" s="161">
        <v>4</v>
      </c>
    </row>
    <row r="426" spans="1:5">
      <c r="A426" s="160">
        <v>45893</v>
      </c>
      <c r="B426" s="63">
        <v>71</v>
      </c>
      <c r="C426" s="64" t="s">
        <v>138</v>
      </c>
      <c r="D426" s="64" t="s">
        <v>153</v>
      </c>
      <c r="E426" s="161">
        <v>2</v>
      </c>
    </row>
    <row r="427" spans="1:5">
      <c r="A427" s="160">
        <v>45896</v>
      </c>
      <c r="B427" s="63">
        <v>36</v>
      </c>
      <c r="C427" s="64" t="s">
        <v>151</v>
      </c>
      <c r="D427" s="64" t="s">
        <v>144</v>
      </c>
      <c r="E427" s="161">
        <v>4</v>
      </c>
    </row>
    <row r="428" spans="1:5">
      <c r="A428" s="160">
        <v>45897</v>
      </c>
      <c r="B428" s="63">
        <v>67</v>
      </c>
      <c r="C428" s="64" t="s">
        <v>141</v>
      </c>
      <c r="D428" s="64" t="s">
        <v>142</v>
      </c>
      <c r="E428" s="161">
        <v>1</v>
      </c>
    </row>
    <row r="429" spans="1:5">
      <c r="A429" s="160">
        <v>45897</v>
      </c>
      <c r="B429" s="63">
        <v>27</v>
      </c>
      <c r="C429" s="64" t="s">
        <v>143</v>
      </c>
      <c r="D429" s="64" t="s">
        <v>156</v>
      </c>
      <c r="E429" s="161">
        <v>1</v>
      </c>
    </row>
    <row r="430" spans="1:5">
      <c r="A430" s="160">
        <v>45899</v>
      </c>
      <c r="B430" s="63">
        <v>64</v>
      </c>
      <c r="C430" s="64" t="s">
        <v>150</v>
      </c>
      <c r="D430" s="64" t="s">
        <v>148</v>
      </c>
      <c r="E430" s="161">
        <v>3</v>
      </c>
    </row>
    <row r="431" spans="1:5">
      <c r="A431" s="160">
        <v>45900</v>
      </c>
      <c r="B431" s="63">
        <v>16</v>
      </c>
      <c r="C431" s="64" t="s">
        <v>146</v>
      </c>
      <c r="D431" s="64" t="s">
        <v>147</v>
      </c>
      <c r="E431" s="161">
        <v>4</v>
      </c>
    </row>
    <row r="432" spans="1:5">
      <c r="A432" s="160">
        <v>45901</v>
      </c>
      <c r="B432" s="63">
        <v>69</v>
      </c>
      <c r="C432" s="64" t="s">
        <v>138</v>
      </c>
      <c r="D432" s="64" t="s">
        <v>139</v>
      </c>
      <c r="E432" s="161">
        <v>2</v>
      </c>
    </row>
    <row r="433" spans="1:5">
      <c r="A433" s="160">
        <v>45902</v>
      </c>
      <c r="B433" s="63">
        <v>34</v>
      </c>
      <c r="C433" s="64" t="s">
        <v>151</v>
      </c>
      <c r="D433" s="64" t="s">
        <v>153</v>
      </c>
      <c r="E433" s="161">
        <v>2</v>
      </c>
    </row>
    <row r="434" spans="1:5">
      <c r="A434" s="160">
        <v>45904</v>
      </c>
      <c r="B434" s="63">
        <v>30</v>
      </c>
      <c r="C434" s="64" t="s">
        <v>141</v>
      </c>
      <c r="D434" s="64" t="s">
        <v>144</v>
      </c>
      <c r="E434" s="161">
        <v>1</v>
      </c>
    </row>
    <row r="435" spans="1:5">
      <c r="A435" s="160">
        <v>45906</v>
      </c>
      <c r="B435" s="63">
        <v>8</v>
      </c>
      <c r="C435" s="64" t="s">
        <v>143</v>
      </c>
      <c r="D435" s="64" t="s">
        <v>142</v>
      </c>
      <c r="E435" s="161">
        <v>3</v>
      </c>
    </row>
    <row r="436" spans="1:5">
      <c r="A436" s="160">
        <v>45908</v>
      </c>
      <c r="B436" s="63">
        <v>30</v>
      </c>
      <c r="C436" s="64" t="s">
        <v>150</v>
      </c>
      <c r="D436" s="64" t="s">
        <v>156</v>
      </c>
      <c r="E436" s="161">
        <v>3</v>
      </c>
    </row>
    <row r="437" spans="1:5">
      <c r="A437" s="160">
        <v>45908</v>
      </c>
      <c r="B437" s="63">
        <v>48</v>
      </c>
      <c r="C437" s="64" t="s">
        <v>146</v>
      </c>
      <c r="D437" s="64" t="s">
        <v>148</v>
      </c>
      <c r="E437" s="161">
        <v>2</v>
      </c>
    </row>
    <row r="438" spans="1:5">
      <c r="A438" s="160">
        <v>45909</v>
      </c>
      <c r="B438" s="63">
        <v>71</v>
      </c>
      <c r="C438" s="64" t="s">
        <v>138</v>
      </c>
      <c r="D438" s="64" t="s">
        <v>147</v>
      </c>
      <c r="E438" s="161">
        <v>1</v>
      </c>
    </row>
    <row r="439" spans="1:5">
      <c r="A439" s="160">
        <v>45909</v>
      </c>
      <c r="B439" s="63">
        <v>2</v>
      </c>
      <c r="C439" s="64" t="s">
        <v>151</v>
      </c>
      <c r="D439" s="64" t="s">
        <v>139</v>
      </c>
      <c r="E439" s="161">
        <v>3</v>
      </c>
    </row>
    <row r="440" spans="1:5">
      <c r="A440" s="160">
        <v>45911</v>
      </c>
      <c r="B440" s="63">
        <v>28</v>
      </c>
      <c r="C440" s="64" t="s">
        <v>141</v>
      </c>
      <c r="D440" s="64" t="s">
        <v>153</v>
      </c>
      <c r="E440" s="161">
        <v>2</v>
      </c>
    </row>
    <row r="441" spans="1:5">
      <c r="A441" s="160">
        <v>45914</v>
      </c>
      <c r="B441" s="63">
        <v>58</v>
      </c>
      <c r="C441" s="64" t="s">
        <v>143</v>
      </c>
      <c r="D441" s="64" t="s">
        <v>144</v>
      </c>
      <c r="E441" s="161">
        <v>4</v>
      </c>
    </row>
    <row r="442" spans="1:5">
      <c r="A442" s="160">
        <v>45914</v>
      </c>
      <c r="B442" s="63">
        <v>18</v>
      </c>
      <c r="C442" s="64" t="s">
        <v>150</v>
      </c>
      <c r="D442" s="64" t="s">
        <v>142</v>
      </c>
      <c r="E442" s="161">
        <v>3</v>
      </c>
    </row>
    <row r="443" spans="1:5">
      <c r="A443" s="165">
        <v>45915</v>
      </c>
      <c r="B443" s="166">
        <v>25</v>
      </c>
      <c r="C443" s="167" t="s">
        <v>146</v>
      </c>
      <c r="D443" s="167" t="s">
        <v>156</v>
      </c>
      <c r="E443" s="168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9">
    <tabColor rgb="FF0070C0"/>
  </sheetPr>
  <dimension ref="A1:U160"/>
  <sheetViews>
    <sheetView showGridLines="0" topLeftCell="D1" workbookViewId="0">
      <selection activeCell="T10" sqref="T10"/>
    </sheetView>
  </sheetViews>
  <sheetFormatPr baseColWidth="10" defaultColWidth="11.44140625" defaultRowHeight="14.4"/>
  <cols>
    <col min="1" max="1" width="12.44140625" style="67" customWidth="1"/>
    <col min="2" max="2" width="14.33203125" style="67" bestFit="1" customWidth="1"/>
    <col min="3" max="3" width="13.88671875" style="67" bestFit="1" customWidth="1"/>
    <col min="4" max="4" width="23.88671875" style="67" bestFit="1" customWidth="1"/>
    <col min="5" max="5" width="16.109375" style="67" bestFit="1" customWidth="1"/>
    <col min="6" max="6" width="11.5546875" style="67" bestFit="1" customWidth="1"/>
    <col min="7" max="8" width="3.88671875" style="68" customWidth="1"/>
    <col min="9" max="9" width="2.5546875" style="67" customWidth="1"/>
    <col min="10" max="10" width="23.88671875" style="67" bestFit="1" customWidth="1"/>
    <col min="11" max="12" width="11.44140625" style="67"/>
    <col min="13" max="13" width="1.88671875" style="67" customWidth="1"/>
    <col min="14" max="14" width="6" style="67" customWidth="1"/>
    <col min="15" max="15" width="11.33203125" style="67" bestFit="1" customWidth="1"/>
    <col min="16" max="16" width="22.6640625" style="67" bestFit="1" customWidth="1"/>
    <col min="17" max="17" width="14.6640625" style="67" bestFit="1" customWidth="1"/>
    <col min="18" max="20" width="11.44140625" style="67"/>
    <col min="21" max="21" width="4.33203125" style="67" customWidth="1"/>
    <col min="22" max="16384" width="11.44140625" style="67"/>
  </cols>
  <sheetData>
    <row r="1" spans="1:21"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1" ht="15" customHeight="1">
      <c r="A2" s="173" t="s">
        <v>167</v>
      </c>
      <c r="B2" s="174" t="s">
        <v>168</v>
      </c>
      <c r="C2" s="174" t="s">
        <v>169</v>
      </c>
      <c r="D2" s="174" t="s">
        <v>170</v>
      </c>
      <c r="E2" s="174" t="s">
        <v>171</v>
      </c>
      <c r="F2" s="175" t="s">
        <v>172</v>
      </c>
      <c r="I2" s="69"/>
      <c r="J2" s="217" t="s">
        <v>173</v>
      </c>
      <c r="K2" s="218"/>
      <c r="L2" s="221" t="s">
        <v>174</v>
      </c>
      <c r="M2" s="69"/>
      <c r="N2" s="69"/>
      <c r="O2" s="69"/>
      <c r="P2" s="69"/>
      <c r="Q2" s="69"/>
      <c r="R2" s="69"/>
      <c r="S2" s="69"/>
      <c r="T2" s="69"/>
      <c r="U2" s="69"/>
    </row>
    <row r="3" spans="1:21">
      <c r="A3" s="171" t="s">
        <v>175</v>
      </c>
      <c r="B3" s="71" t="s">
        <v>176</v>
      </c>
      <c r="C3" s="71" t="s">
        <v>177</v>
      </c>
      <c r="D3" s="72" t="s">
        <v>178</v>
      </c>
      <c r="E3" s="73" t="s">
        <v>179</v>
      </c>
      <c r="F3" s="172">
        <v>1507</v>
      </c>
      <c r="I3" s="69"/>
      <c r="J3" s="219"/>
      <c r="K3" s="220"/>
      <c r="L3" s="221"/>
      <c r="M3" s="69"/>
      <c r="N3" s="69"/>
      <c r="O3" s="69"/>
      <c r="P3" s="69"/>
      <c r="Q3" s="69"/>
      <c r="R3" s="222" t="s">
        <v>180</v>
      </c>
      <c r="S3" s="223"/>
      <c r="T3" s="224"/>
      <c r="U3" s="69"/>
    </row>
    <row r="4" spans="1:21">
      <c r="A4" s="171" t="s">
        <v>181</v>
      </c>
      <c r="B4" s="71" t="s">
        <v>182</v>
      </c>
      <c r="C4" s="71" t="s">
        <v>183</v>
      </c>
      <c r="D4" s="72" t="s">
        <v>184</v>
      </c>
      <c r="E4" s="73" t="s">
        <v>179</v>
      </c>
      <c r="F4" s="172">
        <v>1602</v>
      </c>
      <c r="I4" s="69"/>
      <c r="J4" s="73" t="s">
        <v>179</v>
      </c>
      <c r="K4" s="74">
        <f>+COUNTIFS(Tabla3[Contrato],'PRACTICA FUNCION M Y E'!J4)</f>
        <v>34</v>
      </c>
      <c r="L4" s="181">
        <f>+SUMIFS(Tabla3[salario],Tabla3[Contrato],J4)</f>
        <v>63465</v>
      </c>
      <c r="M4" s="69"/>
      <c r="N4" s="69"/>
      <c r="O4" s="70" t="s">
        <v>167</v>
      </c>
      <c r="P4" s="70" t="s">
        <v>170</v>
      </c>
      <c r="Q4" s="70" t="s">
        <v>171</v>
      </c>
      <c r="R4" s="75" t="s">
        <v>185</v>
      </c>
      <c r="S4" s="75" t="s">
        <v>186</v>
      </c>
      <c r="T4" s="75" t="s">
        <v>187</v>
      </c>
      <c r="U4" s="69"/>
    </row>
    <row r="5" spans="1:21">
      <c r="A5" s="171" t="s">
        <v>175</v>
      </c>
      <c r="B5" s="71" t="s">
        <v>188</v>
      </c>
      <c r="C5" s="76" t="s">
        <v>189</v>
      </c>
      <c r="D5" s="72" t="s">
        <v>190</v>
      </c>
      <c r="E5" s="73" t="s">
        <v>179</v>
      </c>
      <c r="F5" s="172">
        <v>1613</v>
      </c>
      <c r="I5" s="69"/>
      <c r="J5" s="73" t="s">
        <v>191</v>
      </c>
      <c r="K5" s="74">
        <f>+COUNTIFS(Tabla3[Contrato],'PRACTICA FUNCION M Y E'!J5)</f>
        <v>40</v>
      </c>
      <c r="L5" s="181">
        <f>+SUMIFS(Tabla3[salario],Tabla3[Contrato],J5)</f>
        <v>80481</v>
      </c>
      <c r="M5" s="69"/>
      <c r="N5" s="69"/>
      <c r="O5" s="71" t="s">
        <v>175</v>
      </c>
      <c r="P5" s="72" t="s">
        <v>192</v>
      </c>
      <c r="Q5" s="74" t="s">
        <v>191</v>
      </c>
      <c r="R5" s="74">
        <f>+COUNTIFS(Tabla3[Delegación],O5,Tabla3[Departamento],P5,Tabla3[Contrato],Q5)</f>
        <v>2</v>
      </c>
      <c r="S5" s="181">
        <f>+SUMIFS(Tabla3[salario],Tabla3[Delegación],O5,Tabla3[Departamento],P5,Tabla3[Contrato],Q5)</f>
        <v>3328</v>
      </c>
      <c r="T5" s="181">
        <f>+AVERAGEIFS(Tabla3[salario],Tabla3[Delegación],O5,Tabla3[Departamento],P5,Tabla3[Contrato],Q5)</f>
        <v>1664</v>
      </c>
      <c r="U5" s="69"/>
    </row>
    <row r="6" spans="1:21">
      <c r="A6" s="171" t="s">
        <v>181</v>
      </c>
      <c r="B6" s="71" t="s">
        <v>193</v>
      </c>
      <c r="C6" s="77" t="s">
        <v>189</v>
      </c>
      <c r="D6" s="72" t="s">
        <v>184</v>
      </c>
      <c r="E6" s="73" t="s">
        <v>191</v>
      </c>
      <c r="F6" s="172">
        <v>1613</v>
      </c>
      <c r="I6" s="69"/>
      <c r="J6" s="73" t="s">
        <v>194</v>
      </c>
      <c r="K6" s="74">
        <f>+COUNTIFS(Tabla3[Contrato],'PRACTICA FUNCION M Y E'!J6)</f>
        <v>39</v>
      </c>
      <c r="L6" s="181">
        <f>+SUMIFS(Tabla3[salario],Tabla3[Contrato],J6)</f>
        <v>77691.47821681865</v>
      </c>
      <c r="M6" s="69"/>
      <c r="N6" s="69"/>
      <c r="O6" s="71" t="s">
        <v>181</v>
      </c>
      <c r="P6" s="74" t="s">
        <v>178</v>
      </c>
      <c r="Q6" s="74" t="s">
        <v>194</v>
      </c>
      <c r="R6" s="74">
        <f>+COUNTIFS(Tabla3[Delegación],O6,Tabla3[Departamento],P6,Tabla3[Contrato],Q6)</f>
        <v>3</v>
      </c>
      <c r="S6" s="181">
        <f>+SUMIFS(Tabla3[salario],Tabla3[Delegación],O6,Tabla3[Departamento],P6,Tabla3[Contrato],Q6)</f>
        <v>7722</v>
      </c>
      <c r="T6" s="181">
        <f>+AVERAGEIFS(Tabla3[salario],Tabla3[Delegación],O6,Tabla3[Departamento],P6,Tabla3[Contrato],Q6)</f>
        <v>2574</v>
      </c>
      <c r="U6" s="69"/>
    </row>
    <row r="7" spans="1:21">
      <c r="A7" s="171" t="s">
        <v>195</v>
      </c>
      <c r="B7" s="71" t="s">
        <v>196</v>
      </c>
      <c r="C7" s="71" t="s">
        <v>197</v>
      </c>
      <c r="D7" s="72" t="s">
        <v>178</v>
      </c>
      <c r="E7" s="73" t="s">
        <v>191</v>
      </c>
      <c r="F7" s="172">
        <v>1613</v>
      </c>
      <c r="I7" s="69"/>
      <c r="J7" s="73" t="s">
        <v>198</v>
      </c>
      <c r="K7" s="74">
        <f>+COUNTIFS(Tabla3[Contrato],'PRACTICA FUNCION M Y E'!J7)</f>
        <v>29</v>
      </c>
      <c r="L7" s="181">
        <f>+SUMIFS(Tabla3[salario],Tabla3[Contrato],J7)</f>
        <v>56939</v>
      </c>
      <c r="M7" s="69"/>
      <c r="N7" s="69"/>
      <c r="O7" s="71" t="s">
        <v>175</v>
      </c>
      <c r="P7" s="74" t="s">
        <v>199</v>
      </c>
      <c r="Q7" s="74" t="s">
        <v>194</v>
      </c>
      <c r="R7" s="74">
        <f>+COUNTIFS(Tabla3[Delegación],O7,Tabla3[Departamento],P7,Tabla3[Contrato],Q7)</f>
        <v>3</v>
      </c>
      <c r="S7" s="181">
        <f>+SUMIFS(Tabla3[salario],Tabla3[Delegación],O7,Tabla3[Departamento],P7,Tabla3[Contrato],Q7)</f>
        <v>5162</v>
      </c>
      <c r="T7" s="181">
        <f>+AVERAGEIFS(Tabla3[salario],Tabla3[Delegación],O7,Tabla3[Departamento],P7,Tabla3[Contrato],Q7)</f>
        <v>1720.6666666666667</v>
      </c>
      <c r="U7" s="69"/>
    </row>
    <row r="8" spans="1:21">
      <c r="A8" s="171" t="s">
        <v>175</v>
      </c>
      <c r="B8" s="71" t="s">
        <v>200</v>
      </c>
      <c r="C8" s="71" t="s">
        <v>201</v>
      </c>
      <c r="D8" s="72" t="s">
        <v>184</v>
      </c>
      <c r="E8" s="73" t="s">
        <v>179</v>
      </c>
      <c r="F8" s="172">
        <v>1618</v>
      </c>
      <c r="I8" s="69"/>
      <c r="J8" s="69"/>
      <c r="K8" s="69"/>
      <c r="L8" s="69"/>
      <c r="M8" s="69"/>
      <c r="N8" s="69"/>
      <c r="O8" s="71" t="s">
        <v>202</v>
      </c>
      <c r="P8" s="72" t="s">
        <v>203</v>
      </c>
      <c r="Q8" s="74" t="s">
        <v>191</v>
      </c>
      <c r="R8" s="74">
        <f>+COUNTIFS(Tabla3[Delegación],O8,Tabla3[Departamento],P8,Tabla3[Contrato],Q8)</f>
        <v>4</v>
      </c>
      <c r="S8" s="181">
        <f>+SUMIFS(Tabla3[salario],Tabla3[Delegación],O8,Tabla3[Departamento],P8,Tabla3[Contrato],Q8)</f>
        <v>7288</v>
      </c>
      <c r="T8" s="181">
        <f>+AVERAGEIFS(Tabla3[salario],Tabla3[Delegación],O8,Tabla3[Departamento],P8,Tabla3[Contrato],Q8)</f>
        <v>1822</v>
      </c>
      <c r="U8" s="69"/>
    </row>
    <row r="9" spans="1:21">
      <c r="A9" s="171" t="s">
        <v>181</v>
      </c>
      <c r="B9" s="71" t="s">
        <v>204</v>
      </c>
      <c r="C9" s="71" t="s">
        <v>201</v>
      </c>
      <c r="D9" s="72" t="s">
        <v>178</v>
      </c>
      <c r="E9" s="73" t="s">
        <v>179</v>
      </c>
      <c r="F9" s="172">
        <v>1618</v>
      </c>
      <c r="I9" s="69"/>
      <c r="J9" s="217" t="s">
        <v>205</v>
      </c>
      <c r="K9" s="218"/>
      <c r="L9" s="221" t="s">
        <v>174</v>
      </c>
      <c r="M9" s="69"/>
      <c r="N9" s="69"/>
      <c r="O9" s="71" t="s">
        <v>195</v>
      </c>
      <c r="P9" s="72" t="s">
        <v>184</v>
      </c>
      <c r="Q9" s="74" t="s">
        <v>179</v>
      </c>
      <c r="R9" s="74">
        <f>+COUNTIFS(Tabla3[Delegación],O9,Tabla3[Departamento],P9,Tabla3[Contrato],Q9)</f>
        <v>2</v>
      </c>
      <c r="S9" s="181">
        <f>+SUMIFS(Tabla3[salario],Tabla3[Delegación],O9,Tabla3[Departamento],P9,Tabla3[Contrato],Q9)</f>
        <v>3490</v>
      </c>
      <c r="T9" s="181">
        <f>+AVERAGEIFS(Tabla3[salario],Tabla3[Delegación],O9,Tabla3[Departamento],P9,Tabla3[Contrato],Q9)</f>
        <v>1745</v>
      </c>
      <c r="U9" s="69"/>
    </row>
    <row r="10" spans="1:21">
      <c r="A10" s="171" t="s">
        <v>202</v>
      </c>
      <c r="B10" s="71" t="s">
        <v>206</v>
      </c>
      <c r="C10" s="71" t="s">
        <v>207</v>
      </c>
      <c r="D10" s="72" t="s">
        <v>208</v>
      </c>
      <c r="E10" s="73" t="s">
        <v>191</v>
      </c>
      <c r="F10" s="172">
        <v>1618</v>
      </c>
      <c r="I10" s="69"/>
      <c r="J10" s="219"/>
      <c r="K10" s="220"/>
      <c r="L10" s="221"/>
      <c r="M10" s="69"/>
      <c r="N10" s="69"/>
      <c r="O10" s="69"/>
      <c r="P10" s="69"/>
      <c r="Q10" s="69"/>
      <c r="R10" s="69"/>
      <c r="S10" s="69"/>
      <c r="T10" s="69"/>
      <c r="U10" s="69"/>
    </row>
    <row r="11" spans="1:21">
      <c r="A11" s="171" t="s">
        <v>202</v>
      </c>
      <c r="B11" s="71" t="s">
        <v>209</v>
      </c>
      <c r="C11" s="71" t="s">
        <v>182</v>
      </c>
      <c r="D11" s="72" t="s">
        <v>178</v>
      </c>
      <c r="E11" s="73" t="s">
        <v>179</v>
      </c>
      <c r="F11" s="172">
        <v>1620</v>
      </c>
      <c r="I11" s="69"/>
      <c r="J11" s="71" t="s">
        <v>175</v>
      </c>
      <c r="K11" s="74">
        <f>+COUNTIFS(Tabla3[Delegación],J11)</f>
        <v>28</v>
      </c>
      <c r="L11" s="181">
        <f>+SUMIFS(Tabla3[salario],Tabla3[Delegación],J11)</f>
        <v>54861</v>
      </c>
      <c r="M11" s="69"/>
      <c r="N11" s="69"/>
    </row>
    <row r="12" spans="1:21">
      <c r="A12" s="171" t="s">
        <v>202</v>
      </c>
      <c r="B12" s="71" t="s">
        <v>210</v>
      </c>
      <c r="C12" s="71" t="s">
        <v>211</v>
      </c>
      <c r="D12" s="72" t="s">
        <v>199</v>
      </c>
      <c r="E12" s="73" t="s">
        <v>194</v>
      </c>
      <c r="F12" s="172">
        <v>1620</v>
      </c>
      <c r="I12" s="69"/>
      <c r="J12" s="71" t="s">
        <v>181</v>
      </c>
      <c r="K12" s="74">
        <f>+COUNTIFS(Tabla3[Delegación],J12)</f>
        <v>36</v>
      </c>
      <c r="L12" s="181">
        <f>+SUMIFS(Tabla3[salario],Tabla3[Delegación],J12)</f>
        <v>72990.478216818636</v>
      </c>
      <c r="M12" s="69"/>
      <c r="N12" s="69"/>
    </row>
    <row r="13" spans="1:21">
      <c r="A13" s="171" t="s">
        <v>202</v>
      </c>
      <c r="B13" s="71" t="s">
        <v>212</v>
      </c>
      <c r="C13" s="71" t="s">
        <v>213</v>
      </c>
      <c r="D13" s="72" t="s">
        <v>178</v>
      </c>
      <c r="E13" s="73" t="s">
        <v>179</v>
      </c>
      <c r="F13" s="172">
        <v>1620</v>
      </c>
      <c r="I13" s="69"/>
      <c r="J13" s="71" t="s">
        <v>195</v>
      </c>
      <c r="K13" s="74">
        <f>+COUNTIFS(Tabla3[Delegación],J13)</f>
        <v>44</v>
      </c>
      <c r="L13" s="181">
        <f>+SUMIFS(Tabla3[salario],Tabla3[Delegación],J13)</f>
        <v>86503</v>
      </c>
      <c r="M13" s="69"/>
      <c r="N13" s="69"/>
    </row>
    <row r="14" spans="1:21">
      <c r="A14" s="171" t="s">
        <v>202</v>
      </c>
      <c r="B14" s="71" t="s">
        <v>214</v>
      </c>
      <c r="C14" s="71" t="s">
        <v>215</v>
      </c>
      <c r="D14" s="72" t="s">
        <v>216</v>
      </c>
      <c r="E14" s="73" t="s">
        <v>198</v>
      </c>
      <c r="F14" s="172">
        <v>1620</v>
      </c>
      <c r="I14" s="69"/>
      <c r="J14" s="71" t="s">
        <v>202</v>
      </c>
      <c r="K14" s="74">
        <f>+COUNTIFS(Tabla3[Delegación],J14)</f>
        <v>34</v>
      </c>
      <c r="L14" s="181">
        <f>+SUMIFS(Tabla3[salario],Tabla3[Delegación],J14)</f>
        <v>64222</v>
      </c>
      <c r="M14" s="69"/>
      <c r="N14" s="69"/>
    </row>
    <row r="15" spans="1:21">
      <c r="A15" s="171" t="s">
        <v>175</v>
      </c>
      <c r="B15" s="71" t="s">
        <v>217</v>
      </c>
      <c r="C15" s="71" t="s">
        <v>218</v>
      </c>
      <c r="D15" s="72" t="s">
        <v>199</v>
      </c>
      <c r="E15" s="73" t="s">
        <v>194</v>
      </c>
      <c r="F15" s="172">
        <v>1623</v>
      </c>
      <c r="I15" s="69"/>
      <c r="J15" s="69"/>
      <c r="K15" s="69"/>
      <c r="L15" s="69"/>
      <c r="M15" s="69"/>
      <c r="N15" s="69"/>
    </row>
    <row r="16" spans="1:21">
      <c r="A16" s="171" t="s">
        <v>175</v>
      </c>
      <c r="B16" s="71" t="s">
        <v>219</v>
      </c>
      <c r="C16" s="71" t="s">
        <v>218</v>
      </c>
      <c r="D16" s="72" t="s">
        <v>220</v>
      </c>
      <c r="E16" s="73" t="s">
        <v>194</v>
      </c>
      <c r="F16" s="172">
        <v>1623</v>
      </c>
      <c r="I16" s="69"/>
      <c r="J16" s="69"/>
      <c r="K16" s="69"/>
      <c r="L16" s="69"/>
      <c r="M16" s="69"/>
      <c r="N16" s="69"/>
    </row>
    <row r="17" spans="1:14">
      <c r="A17" s="171" t="s">
        <v>175</v>
      </c>
      <c r="B17" s="71" t="s">
        <v>221</v>
      </c>
      <c r="C17" s="71" t="s">
        <v>218</v>
      </c>
      <c r="D17" s="72" t="s">
        <v>192</v>
      </c>
      <c r="E17" s="73" t="s">
        <v>191</v>
      </c>
      <c r="F17" s="172">
        <v>1623</v>
      </c>
      <c r="I17" s="69"/>
      <c r="J17" s="217" t="s">
        <v>222</v>
      </c>
      <c r="K17" s="218"/>
      <c r="L17" s="221" t="s">
        <v>174</v>
      </c>
      <c r="M17" s="69"/>
      <c r="N17" s="69"/>
    </row>
    <row r="18" spans="1:14">
      <c r="A18" s="171" t="s">
        <v>175</v>
      </c>
      <c r="B18" s="71" t="s">
        <v>223</v>
      </c>
      <c r="C18" s="71" t="s">
        <v>224</v>
      </c>
      <c r="D18" s="72" t="s">
        <v>199</v>
      </c>
      <c r="E18" s="73" t="s">
        <v>198</v>
      </c>
      <c r="F18" s="172">
        <v>1626</v>
      </c>
      <c r="I18" s="69"/>
      <c r="J18" s="219"/>
      <c r="K18" s="220"/>
      <c r="L18" s="221"/>
      <c r="M18" s="69"/>
      <c r="N18" s="69"/>
    </row>
    <row r="19" spans="1:14">
      <c r="A19" s="171" t="s">
        <v>202</v>
      </c>
      <c r="B19" s="71" t="s">
        <v>225</v>
      </c>
      <c r="C19" s="71" t="s">
        <v>226</v>
      </c>
      <c r="D19" s="72" t="s">
        <v>184</v>
      </c>
      <c r="E19" s="73" t="s">
        <v>191</v>
      </c>
      <c r="F19" s="172">
        <v>1626</v>
      </c>
      <c r="I19" s="69"/>
      <c r="J19" s="72" t="s">
        <v>178</v>
      </c>
      <c r="K19" s="74">
        <f>+COUNTIFS(Tabla3[Departamento],J19)</f>
        <v>15</v>
      </c>
      <c r="L19" s="181">
        <f>+SUMIFS(Tabla3[salario],Tabla3[Departamento],J19)</f>
        <v>29143</v>
      </c>
      <c r="M19" s="69"/>
      <c r="N19" s="69"/>
    </row>
    <row r="20" spans="1:14">
      <c r="A20" s="171" t="s">
        <v>181</v>
      </c>
      <c r="B20" s="71" t="s">
        <v>227</v>
      </c>
      <c r="C20" s="71" t="s">
        <v>228</v>
      </c>
      <c r="D20" s="72" t="s">
        <v>220</v>
      </c>
      <c r="E20" s="73" t="s">
        <v>179</v>
      </c>
      <c r="F20" s="172">
        <v>1627</v>
      </c>
      <c r="I20" s="69"/>
      <c r="J20" s="72" t="s">
        <v>184</v>
      </c>
      <c r="K20" s="74">
        <f>+COUNTIFS(Tabla3[Departamento],J20)</f>
        <v>14</v>
      </c>
      <c r="L20" s="181">
        <f>+SUMIFS(Tabla3[salario],Tabla3[Departamento],J20)</f>
        <v>30076</v>
      </c>
      <c r="M20" s="69"/>
      <c r="N20" s="69"/>
    </row>
    <row r="21" spans="1:14">
      <c r="A21" s="171" t="s">
        <v>202</v>
      </c>
      <c r="B21" s="71" t="s">
        <v>229</v>
      </c>
      <c r="C21" s="71" t="s">
        <v>228</v>
      </c>
      <c r="D21" s="72" t="s">
        <v>190</v>
      </c>
      <c r="E21" s="73" t="s">
        <v>179</v>
      </c>
      <c r="F21" s="172">
        <v>1627</v>
      </c>
      <c r="I21" s="69"/>
      <c r="J21" s="72" t="s">
        <v>190</v>
      </c>
      <c r="K21" s="74">
        <f>+COUNTIFS(Tabla3[Departamento],J21)</f>
        <v>12</v>
      </c>
      <c r="L21" s="181">
        <f>+SUMIFS(Tabla3[salario],Tabla3[Departamento],J21)</f>
        <v>21756</v>
      </c>
      <c r="M21" s="69"/>
      <c r="N21" s="69"/>
    </row>
    <row r="22" spans="1:14">
      <c r="A22" s="171" t="s">
        <v>175</v>
      </c>
      <c r="B22" s="71" t="s">
        <v>230</v>
      </c>
      <c r="C22" s="71" t="s">
        <v>231</v>
      </c>
      <c r="D22" s="72" t="s">
        <v>184</v>
      </c>
      <c r="E22" s="73" t="s">
        <v>179</v>
      </c>
      <c r="F22" s="172">
        <v>1653</v>
      </c>
      <c r="I22" s="69"/>
      <c r="J22" s="72" t="s">
        <v>208</v>
      </c>
      <c r="K22" s="74">
        <f>+COUNTIFS(Tabla3[Departamento],J22)</f>
        <v>13</v>
      </c>
      <c r="L22" s="181">
        <f>+SUMIFS(Tabla3[salario],Tabla3[Departamento],J22)</f>
        <v>24993</v>
      </c>
      <c r="M22" s="69"/>
      <c r="N22" s="69"/>
    </row>
    <row r="23" spans="1:14">
      <c r="A23" s="171" t="s">
        <v>181</v>
      </c>
      <c r="B23" s="71" t="s">
        <v>232</v>
      </c>
      <c r="C23" s="71" t="s">
        <v>233</v>
      </c>
      <c r="D23" s="72" t="s">
        <v>199</v>
      </c>
      <c r="E23" s="73" t="s">
        <v>194</v>
      </c>
      <c r="F23" s="172">
        <v>1653</v>
      </c>
      <c r="I23" s="69"/>
      <c r="J23" s="72" t="s">
        <v>199</v>
      </c>
      <c r="K23" s="74">
        <f>+COUNTIFS(Tabla3[Departamento],J23)</f>
        <v>33</v>
      </c>
      <c r="L23" s="181">
        <f>+SUMIFS(Tabla3[salario],Tabla3[Departamento],J23)</f>
        <v>60211</v>
      </c>
      <c r="M23" s="69"/>
      <c r="N23" s="69"/>
    </row>
    <row r="24" spans="1:14">
      <c r="A24" s="171" t="s">
        <v>181</v>
      </c>
      <c r="B24" s="71" t="s">
        <v>234</v>
      </c>
      <c r="C24" s="71" t="s">
        <v>235</v>
      </c>
      <c r="D24" s="72" t="s">
        <v>199</v>
      </c>
      <c r="E24" s="73" t="s">
        <v>191</v>
      </c>
      <c r="F24" s="172">
        <v>1653</v>
      </c>
      <c r="I24" s="69"/>
      <c r="J24" s="72" t="s">
        <v>216</v>
      </c>
      <c r="K24" s="74">
        <f>+COUNTIFS(Tabla3[Departamento],J24)</f>
        <v>12</v>
      </c>
      <c r="L24" s="181">
        <f>+SUMIFS(Tabla3[salario],Tabla3[Departamento],J24)</f>
        <v>25256.478216818639</v>
      </c>
      <c r="M24" s="69"/>
      <c r="N24" s="69"/>
    </row>
    <row r="25" spans="1:14">
      <c r="A25" s="171" t="s">
        <v>202</v>
      </c>
      <c r="B25" s="71" t="s">
        <v>236</v>
      </c>
      <c r="C25" s="71" t="s">
        <v>237</v>
      </c>
      <c r="D25" s="72" t="s">
        <v>208</v>
      </c>
      <c r="E25" s="73" t="s">
        <v>194</v>
      </c>
      <c r="F25" s="172">
        <v>1653</v>
      </c>
      <c r="I25" s="69"/>
      <c r="J25" s="72" t="s">
        <v>220</v>
      </c>
      <c r="K25" s="74">
        <f>+COUNTIFS(Tabla3[Departamento],J25)</f>
        <v>11</v>
      </c>
      <c r="L25" s="181">
        <f>+SUMIFS(Tabla3[salario],Tabla3[Departamento],J25)</f>
        <v>21708</v>
      </c>
      <c r="M25" s="69"/>
      <c r="N25" s="69"/>
    </row>
    <row r="26" spans="1:14">
      <c r="A26" s="171" t="s">
        <v>202</v>
      </c>
      <c r="B26" s="71" t="s">
        <v>238</v>
      </c>
      <c r="C26" s="71" t="s">
        <v>239</v>
      </c>
      <c r="D26" s="72" t="s">
        <v>199</v>
      </c>
      <c r="E26" s="73" t="s">
        <v>194</v>
      </c>
      <c r="F26" s="172">
        <v>1653</v>
      </c>
      <c r="I26" s="69"/>
      <c r="J26" s="72" t="s">
        <v>192</v>
      </c>
      <c r="K26" s="74">
        <f>+COUNTIFS(Tabla3[Departamento],J26)</f>
        <v>18</v>
      </c>
      <c r="L26" s="181">
        <f>+SUMIFS(Tabla3[salario],Tabla3[Departamento],J26)</f>
        <v>36895</v>
      </c>
      <c r="M26" s="69"/>
      <c r="N26" s="69"/>
    </row>
    <row r="27" spans="1:14">
      <c r="A27" s="171" t="s">
        <v>202</v>
      </c>
      <c r="B27" s="71" t="s">
        <v>240</v>
      </c>
      <c r="C27" s="71" t="s">
        <v>241</v>
      </c>
      <c r="D27" s="72" t="s">
        <v>203</v>
      </c>
      <c r="E27" s="73" t="s">
        <v>191</v>
      </c>
      <c r="F27" s="172">
        <v>1653</v>
      </c>
      <c r="I27" s="69"/>
      <c r="J27" s="72" t="s">
        <v>203</v>
      </c>
      <c r="K27" s="74">
        <f>+COUNTIFS(Tabla3[Departamento],J27)</f>
        <v>14</v>
      </c>
      <c r="L27" s="181">
        <f>+SUMIFS(Tabla3[salario],Tabla3[Departamento],J27)</f>
        <v>28538</v>
      </c>
      <c r="M27" s="69"/>
      <c r="N27" s="69"/>
    </row>
    <row r="28" spans="1:14">
      <c r="A28" s="171" t="s">
        <v>202</v>
      </c>
      <c r="B28" s="71" t="s">
        <v>242</v>
      </c>
      <c r="C28" s="71" t="s">
        <v>243</v>
      </c>
      <c r="D28" s="72" t="s">
        <v>184</v>
      </c>
      <c r="E28" s="73" t="s">
        <v>194</v>
      </c>
      <c r="F28" s="172">
        <v>1653</v>
      </c>
      <c r="I28" s="69"/>
      <c r="J28" s="69"/>
      <c r="K28" s="69"/>
      <c r="L28" s="69"/>
      <c r="M28" s="69"/>
      <c r="N28" s="69"/>
    </row>
    <row r="29" spans="1:14">
      <c r="A29" s="171" t="s">
        <v>202</v>
      </c>
      <c r="B29" s="71" t="s">
        <v>244</v>
      </c>
      <c r="C29" s="71" t="s">
        <v>245</v>
      </c>
      <c r="D29" s="72" t="s">
        <v>220</v>
      </c>
      <c r="E29" s="73" t="s">
        <v>191</v>
      </c>
      <c r="F29" s="172">
        <v>1653</v>
      </c>
      <c r="J29" s="68"/>
    </row>
    <row r="30" spans="1:14">
      <c r="A30" s="171" t="s">
        <v>202</v>
      </c>
      <c r="B30" s="71" t="s">
        <v>246</v>
      </c>
      <c r="C30" s="71" t="s">
        <v>247</v>
      </c>
      <c r="D30" s="72" t="s">
        <v>208</v>
      </c>
      <c r="E30" s="73" t="s">
        <v>198</v>
      </c>
      <c r="F30" s="172">
        <v>1653</v>
      </c>
      <c r="J30" s="68"/>
    </row>
    <row r="31" spans="1:14">
      <c r="A31" s="171" t="s">
        <v>195</v>
      </c>
      <c r="B31" s="71" t="s">
        <v>248</v>
      </c>
      <c r="C31" s="71" t="s">
        <v>249</v>
      </c>
      <c r="D31" s="72" t="s">
        <v>203</v>
      </c>
      <c r="E31" s="73" t="s">
        <v>191</v>
      </c>
      <c r="F31" s="172">
        <v>1653</v>
      </c>
      <c r="J31" s="68"/>
    </row>
    <row r="32" spans="1:14">
      <c r="A32" s="171" t="s">
        <v>195</v>
      </c>
      <c r="B32" s="71" t="s">
        <v>250</v>
      </c>
      <c r="C32" s="71" t="s">
        <v>251</v>
      </c>
      <c r="D32" s="72" t="s">
        <v>208</v>
      </c>
      <c r="E32" s="73" t="s">
        <v>198</v>
      </c>
      <c r="F32" s="172">
        <v>1653</v>
      </c>
      <c r="J32" s="68"/>
    </row>
    <row r="33" spans="1:10">
      <c r="A33" s="171" t="s">
        <v>195</v>
      </c>
      <c r="B33" s="71" t="s">
        <v>252</v>
      </c>
      <c r="C33" s="71" t="s">
        <v>253</v>
      </c>
      <c r="D33" s="72" t="s">
        <v>192</v>
      </c>
      <c r="E33" s="73" t="s">
        <v>191</v>
      </c>
      <c r="F33" s="172">
        <v>1653</v>
      </c>
      <c r="J33" s="68"/>
    </row>
    <row r="34" spans="1:10">
      <c r="A34" s="171" t="s">
        <v>195</v>
      </c>
      <c r="B34" s="71" t="s">
        <v>254</v>
      </c>
      <c r="C34" s="71" t="s">
        <v>255</v>
      </c>
      <c r="D34" s="72" t="s">
        <v>192</v>
      </c>
      <c r="E34" s="73" t="s">
        <v>198</v>
      </c>
      <c r="F34" s="172">
        <v>1653</v>
      </c>
      <c r="J34" s="68"/>
    </row>
    <row r="35" spans="1:10">
      <c r="A35" s="171" t="s">
        <v>195</v>
      </c>
      <c r="B35" s="71" t="s">
        <v>256</v>
      </c>
      <c r="C35" s="71" t="s">
        <v>257</v>
      </c>
      <c r="D35" s="72" t="s">
        <v>216</v>
      </c>
      <c r="E35" s="73" t="s">
        <v>194</v>
      </c>
      <c r="F35" s="172">
        <v>1653</v>
      </c>
      <c r="J35" s="68"/>
    </row>
    <row r="36" spans="1:10">
      <c r="A36" s="171" t="s">
        <v>181</v>
      </c>
      <c r="B36" s="71" t="s">
        <v>258</v>
      </c>
      <c r="C36" s="71" t="s">
        <v>259</v>
      </c>
      <c r="D36" s="72" t="s">
        <v>199</v>
      </c>
      <c r="E36" s="73" t="s">
        <v>194</v>
      </c>
      <c r="F36" s="172">
        <v>1663</v>
      </c>
      <c r="J36" s="68"/>
    </row>
    <row r="37" spans="1:10">
      <c r="A37" s="171" t="s">
        <v>195</v>
      </c>
      <c r="B37" s="71" t="s">
        <v>260</v>
      </c>
      <c r="C37" s="71" t="s">
        <v>261</v>
      </c>
      <c r="D37" s="72" t="s">
        <v>192</v>
      </c>
      <c r="E37" s="73" t="s">
        <v>191</v>
      </c>
      <c r="F37" s="172">
        <v>1663</v>
      </c>
      <c r="J37" s="68"/>
    </row>
    <row r="38" spans="1:10">
      <c r="A38" s="171" t="s">
        <v>195</v>
      </c>
      <c r="B38" s="71" t="s">
        <v>262</v>
      </c>
      <c r="C38" s="71" t="s">
        <v>261</v>
      </c>
      <c r="D38" s="72" t="s">
        <v>190</v>
      </c>
      <c r="E38" s="73" t="s">
        <v>179</v>
      </c>
      <c r="F38" s="172">
        <v>1663</v>
      </c>
      <c r="J38" s="68"/>
    </row>
    <row r="39" spans="1:10">
      <c r="A39" s="171" t="s">
        <v>175</v>
      </c>
      <c r="B39" s="71" t="s">
        <v>263</v>
      </c>
      <c r="C39" s="71" t="s">
        <v>264</v>
      </c>
      <c r="D39" s="72" t="s">
        <v>216</v>
      </c>
      <c r="E39" s="73" t="s">
        <v>194</v>
      </c>
      <c r="F39" s="172">
        <v>1666</v>
      </c>
      <c r="J39" s="68"/>
    </row>
    <row r="40" spans="1:10">
      <c r="A40" s="171" t="s">
        <v>175</v>
      </c>
      <c r="B40" s="71" t="s">
        <v>265</v>
      </c>
      <c r="C40" s="71" t="s">
        <v>237</v>
      </c>
      <c r="D40" s="72" t="s">
        <v>216</v>
      </c>
      <c r="E40" s="73" t="s">
        <v>194</v>
      </c>
      <c r="F40" s="172">
        <v>1671</v>
      </c>
      <c r="J40" s="68"/>
    </row>
    <row r="41" spans="1:10">
      <c r="A41" s="171" t="s">
        <v>181</v>
      </c>
      <c r="B41" s="71" t="s">
        <v>266</v>
      </c>
      <c r="C41" s="71" t="s">
        <v>267</v>
      </c>
      <c r="D41" s="72" t="s">
        <v>199</v>
      </c>
      <c r="E41" s="73" t="s">
        <v>198</v>
      </c>
      <c r="F41" s="172">
        <v>1671</v>
      </c>
      <c r="J41" s="68"/>
    </row>
    <row r="42" spans="1:10">
      <c r="A42" s="171" t="s">
        <v>181</v>
      </c>
      <c r="B42" s="71" t="s">
        <v>268</v>
      </c>
      <c r="C42" s="71" t="s">
        <v>269</v>
      </c>
      <c r="D42" s="72" t="s">
        <v>184</v>
      </c>
      <c r="E42" s="73" t="s">
        <v>191</v>
      </c>
      <c r="F42" s="172">
        <v>1675</v>
      </c>
      <c r="J42" s="68"/>
    </row>
    <row r="43" spans="1:10">
      <c r="A43" s="171" t="s">
        <v>175</v>
      </c>
      <c r="B43" s="71" t="s">
        <v>270</v>
      </c>
      <c r="C43" s="71" t="s">
        <v>271</v>
      </c>
      <c r="D43" s="72" t="s">
        <v>208</v>
      </c>
      <c r="E43" s="73" t="s">
        <v>179</v>
      </c>
      <c r="F43" s="172">
        <v>1678</v>
      </c>
      <c r="J43" s="68"/>
    </row>
    <row r="44" spans="1:10">
      <c r="A44" s="171" t="s">
        <v>175</v>
      </c>
      <c r="B44" s="71" t="s">
        <v>272</v>
      </c>
      <c r="C44" s="71" t="s">
        <v>273</v>
      </c>
      <c r="D44" s="72" t="s">
        <v>220</v>
      </c>
      <c r="E44" s="73" t="s">
        <v>179</v>
      </c>
      <c r="F44" s="172">
        <v>1678</v>
      </c>
      <c r="J44" s="68"/>
    </row>
    <row r="45" spans="1:10">
      <c r="A45" s="171" t="s">
        <v>175</v>
      </c>
      <c r="B45" s="71" t="s">
        <v>274</v>
      </c>
      <c r="C45" s="71" t="s">
        <v>228</v>
      </c>
      <c r="D45" s="72" t="s">
        <v>190</v>
      </c>
      <c r="E45" s="73" t="s">
        <v>198</v>
      </c>
      <c r="F45" s="172">
        <v>1678</v>
      </c>
      <c r="J45" s="68"/>
    </row>
    <row r="46" spans="1:10">
      <c r="A46" s="171" t="s">
        <v>175</v>
      </c>
      <c r="B46" s="71" t="s">
        <v>275</v>
      </c>
      <c r="C46" s="71" t="s">
        <v>273</v>
      </c>
      <c r="D46" s="72" t="s">
        <v>199</v>
      </c>
      <c r="E46" s="73" t="s">
        <v>191</v>
      </c>
      <c r="F46" s="172">
        <v>1678</v>
      </c>
      <c r="J46" s="68"/>
    </row>
    <row r="47" spans="1:10">
      <c r="A47" s="171" t="s">
        <v>181</v>
      </c>
      <c r="B47" s="71" t="s">
        <v>276</v>
      </c>
      <c r="C47" s="71" t="s">
        <v>277</v>
      </c>
      <c r="D47" s="72" t="s">
        <v>203</v>
      </c>
      <c r="E47" s="73" t="s">
        <v>198</v>
      </c>
      <c r="F47" s="172">
        <v>1678</v>
      </c>
      <c r="J47" s="68"/>
    </row>
    <row r="48" spans="1:10">
      <c r="A48" s="171" t="s">
        <v>181</v>
      </c>
      <c r="B48" s="71" t="s">
        <v>278</v>
      </c>
      <c r="C48" s="71" t="s">
        <v>228</v>
      </c>
      <c r="D48" s="72" t="s">
        <v>190</v>
      </c>
      <c r="E48" s="73" t="s">
        <v>198</v>
      </c>
      <c r="F48" s="172">
        <v>1678</v>
      </c>
      <c r="J48" s="68"/>
    </row>
    <row r="49" spans="1:10">
      <c r="A49" s="171" t="s">
        <v>202</v>
      </c>
      <c r="B49" s="71" t="s">
        <v>279</v>
      </c>
      <c r="C49" s="71" t="s">
        <v>277</v>
      </c>
      <c r="D49" s="72" t="s">
        <v>199</v>
      </c>
      <c r="E49" s="73" t="s">
        <v>198</v>
      </c>
      <c r="F49" s="172">
        <v>1678</v>
      </c>
      <c r="J49" s="68"/>
    </row>
    <row r="50" spans="1:10">
      <c r="A50" s="171" t="s">
        <v>195</v>
      </c>
      <c r="B50" s="71" t="s">
        <v>280</v>
      </c>
      <c r="C50" s="71" t="s">
        <v>277</v>
      </c>
      <c r="D50" s="72" t="s">
        <v>208</v>
      </c>
      <c r="E50" s="73" t="s">
        <v>191</v>
      </c>
      <c r="F50" s="172">
        <v>1678</v>
      </c>
      <c r="J50" s="68"/>
    </row>
    <row r="51" spans="1:10">
      <c r="A51" s="171" t="s">
        <v>195</v>
      </c>
      <c r="B51" s="71" t="s">
        <v>281</v>
      </c>
      <c r="C51" s="71" t="s">
        <v>273</v>
      </c>
      <c r="D51" s="72" t="s">
        <v>203</v>
      </c>
      <c r="E51" s="73" t="s">
        <v>194</v>
      </c>
      <c r="F51" s="172">
        <v>1678</v>
      </c>
      <c r="J51" s="68"/>
    </row>
    <row r="52" spans="1:10">
      <c r="A52" s="171" t="s">
        <v>195</v>
      </c>
      <c r="B52" s="71" t="s">
        <v>282</v>
      </c>
      <c r="C52" s="71" t="s">
        <v>228</v>
      </c>
      <c r="D52" s="72" t="s">
        <v>220</v>
      </c>
      <c r="E52" s="73" t="s">
        <v>179</v>
      </c>
      <c r="F52" s="172">
        <v>1678</v>
      </c>
      <c r="J52" s="68"/>
    </row>
    <row r="53" spans="1:10">
      <c r="A53" s="171" t="s">
        <v>175</v>
      </c>
      <c r="B53" s="71" t="s">
        <v>283</v>
      </c>
      <c r="C53" s="71" t="s">
        <v>284</v>
      </c>
      <c r="D53" s="72" t="s">
        <v>199</v>
      </c>
      <c r="E53" s="73" t="s">
        <v>179</v>
      </c>
      <c r="F53" s="172">
        <v>1705</v>
      </c>
      <c r="J53" s="68"/>
    </row>
    <row r="54" spans="1:10">
      <c r="A54" s="171" t="s">
        <v>175</v>
      </c>
      <c r="B54" s="71" t="s">
        <v>285</v>
      </c>
      <c r="C54" s="71" t="s">
        <v>286</v>
      </c>
      <c r="D54" s="72" t="s">
        <v>192</v>
      </c>
      <c r="E54" s="73" t="s">
        <v>191</v>
      </c>
      <c r="F54" s="172">
        <v>1705</v>
      </c>
      <c r="J54" s="68"/>
    </row>
    <row r="55" spans="1:10">
      <c r="A55" s="171" t="s">
        <v>181</v>
      </c>
      <c r="B55" s="71" t="s">
        <v>287</v>
      </c>
      <c r="C55" s="71" t="s">
        <v>288</v>
      </c>
      <c r="D55" s="72" t="s">
        <v>184</v>
      </c>
      <c r="E55" s="73" t="s">
        <v>191</v>
      </c>
      <c r="F55" s="172">
        <v>1705</v>
      </c>
      <c r="J55" s="68"/>
    </row>
    <row r="56" spans="1:10">
      <c r="A56" s="171" t="s">
        <v>181</v>
      </c>
      <c r="B56" s="71" t="s">
        <v>289</v>
      </c>
      <c r="C56" s="71" t="s">
        <v>290</v>
      </c>
      <c r="D56" s="72" t="s">
        <v>190</v>
      </c>
      <c r="E56" s="73" t="s">
        <v>198</v>
      </c>
      <c r="F56" s="172">
        <v>1705</v>
      </c>
      <c r="J56" s="68"/>
    </row>
    <row r="57" spans="1:10">
      <c r="A57" s="171" t="s">
        <v>181</v>
      </c>
      <c r="B57" s="71" t="s">
        <v>291</v>
      </c>
      <c r="C57" s="71" t="s">
        <v>292</v>
      </c>
      <c r="D57" s="72" t="s">
        <v>178</v>
      </c>
      <c r="E57" s="73" t="s">
        <v>194</v>
      </c>
      <c r="F57" s="172">
        <v>1705</v>
      </c>
      <c r="J57" s="68"/>
    </row>
    <row r="58" spans="1:10">
      <c r="A58" s="171" t="s">
        <v>202</v>
      </c>
      <c r="B58" s="71" t="s">
        <v>293</v>
      </c>
      <c r="C58" s="71" t="s">
        <v>294</v>
      </c>
      <c r="D58" s="72" t="s">
        <v>178</v>
      </c>
      <c r="E58" s="73" t="s">
        <v>194</v>
      </c>
      <c r="F58" s="172">
        <v>1705</v>
      </c>
      <c r="J58" s="68"/>
    </row>
    <row r="59" spans="1:10">
      <c r="A59" s="171" t="s">
        <v>195</v>
      </c>
      <c r="B59" s="71" t="s">
        <v>295</v>
      </c>
      <c r="C59" s="71" t="s">
        <v>296</v>
      </c>
      <c r="D59" s="72" t="s">
        <v>192</v>
      </c>
      <c r="E59" s="73" t="s">
        <v>194</v>
      </c>
      <c r="F59" s="172">
        <v>1705</v>
      </c>
      <c r="J59" s="68"/>
    </row>
    <row r="60" spans="1:10">
      <c r="A60" s="171" t="s">
        <v>195</v>
      </c>
      <c r="B60" s="71" t="s">
        <v>297</v>
      </c>
      <c r="C60" s="71" t="s">
        <v>298</v>
      </c>
      <c r="D60" s="72" t="s">
        <v>208</v>
      </c>
      <c r="E60" s="73" t="s">
        <v>194</v>
      </c>
      <c r="F60" s="172">
        <v>1705</v>
      </c>
      <c r="J60" s="68"/>
    </row>
    <row r="61" spans="1:10">
      <c r="A61" s="171" t="s">
        <v>195</v>
      </c>
      <c r="B61" s="71" t="s">
        <v>299</v>
      </c>
      <c r="C61" s="71" t="s">
        <v>300</v>
      </c>
      <c r="D61" s="72" t="s">
        <v>220</v>
      </c>
      <c r="E61" s="73" t="s">
        <v>179</v>
      </c>
      <c r="F61" s="172">
        <v>1705</v>
      </c>
      <c r="J61" s="68"/>
    </row>
    <row r="62" spans="1:10">
      <c r="A62" s="171" t="s">
        <v>195</v>
      </c>
      <c r="B62" s="71" t="s">
        <v>301</v>
      </c>
      <c r="C62" s="71" t="s">
        <v>302</v>
      </c>
      <c r="D62" s="72" t="s">
        <v>220</v>
      </c>
      <c r="E62" s="73" t="s">
        <v>194</v>
      </c>
      <c r="F62" s="172">
        <v>1705</v>
      </c>
      <c r="J62" s="68"/>
    </row>
    <row r="63" spans="1:10">
      <c r="A63" s="171" t="s">
        <v>195</v>
      </c>
      <c r="B63" s="71" t="s">
        <v>303</v>
      </c>
      <c r="C63" s="71" t="s">
        <v>304</v>
      </c>
      <c r="D63" s="72" t="s">
        <v>184</v>
      </c>
      <c r="E63" s="73" t="s">
        <v>179</v>
      </c>
      <c r="F63" s="172">
        <v>1705</v>
      </c>
      <c r="J63" s="68"/>
    </row>
    <row r="64" spans="1:10">
      <c r="A64" s="171" t="s">
        <v>195</v>
      </c>
      <c r="B64" s="71" t="s">
        <v>305</v>
      </c>
      <c r="C64" s="71" t="s">
        <v>306</v>
      </c>
      <c r="D64" s="72" t="s">
        <v>199</v>
      </c>
      <c r="E64" s="73" t="s">
        <v>194</v>
      </c>
      <c r="F64" s="172">
        <v>1705</v>
      </c>
      <c r="J64" s="68"/>
    </row>
    <row r="65" spans="1:10">
      <c r="A65" s="171" t="s">
        <v>195</v>
      </c>
      <c r="B65" s="71" t="s">
        <v>307</v>
      </c>
      <c r="C65" s="71" t="s">
        <v>267</v>
      </c>
      <c r="D65" s="72" t="s">
        <v>203</v>
      </c>
      <c r="E65" s="73" t="s">
        <v>198</v>
      </c>
      <c r="F65" s="172">
        <v>1705</v>
      </c>
      <c r="J65" s="68"/>
    </row>
    <row r="66" spans="1:10">
      <c r="A66" s="171" t="s">
        <v>181</v>
      </c>
      <c r="B66" s="71" t="s">
        <v>308</v>
      </c>
      <c r="C66" s="71" t="s">
        <v>309</v>
      </c>
      <c r="D66" s="72" t="s">
        <v>190</v>
      </c>
      <c r="E66" s="73" t="s">
        <v>198</v>
      </c>
      <c r="F66" s="172">
        <v>1719</v>
      </c>
      <c r="J66" s="68"/>
    </row>
    <row r="67" spans="1:10">
      <c r="A67" s="171" t="s">
        <v>181</v>
      </c>
      <c r="B67" s="71" t="s">
        <v>310</v>
      </c>
      <c r="C67" s="71" t="s">
        <v>311</v>
      </c>
      <c r="D67" s="72" t="s">
        <v>199</v>
      </c>
      <c r="E67" s="73" t="s">
        <v>194</v>
      </c>
      <c r="F67" s="172">
        <v>1720</v>
      </c>
      <c r="J67" s="68"/>
    </row>
    <row r="68" spans="1:10">
      <c r="A68" s="171" t="s">
        <v>181</v>
      </c>
      <c r="B68" s="71" t="s">
        <v>312</v>
      </c>
      <c r="C68" s="71" t="s">
        <v>313</v>
      </c>
      <c r="D68" s="72" t="s">
        <v>216</v>
      </c>
      <c r="E68" s="73" t="s">
        <v>194</v>
      </c>
      <c r="F68" s="172">
        <v>1738.47821681864</v>
      </c>
      <c r="J68" s="68"/>
    </row>
    <row r="69" spans="1:10">
      <c r="A69" s="171" t="s">
        <v>181</v>
      </c>
      <c r="B69" s="71" t="s">
        <v>314</v>
      </c>
      <c r="C69" s="71" t="s">
        <v>315</v>
      </c>
      <c r="D69" s="72" t="s">
        <v>190</v>
      </c>
      <c r="E69" s="73" t="s">
        <v>179</v>
      </c>
      <c r="F69" s="172">
        <v>1750</v>
      </c>
      <c r="J69" s="68"/>
    </row>
    <row r="70" spans="1:10">
      <c r="A70" s="171" t="s">
        <v>202</v>
      </c>
      <c r="B70" s="71" t="s">
        <v>316</v>
      </c>
      <c r="C70" s="71" t="s">
        <v>317</v>
      </c>
      <c r="D70" s="72" t="s">
        <v>203</v>
      </c>
      <c r="E70" s="73" t="s">
        <v>191</v>
      </c>
      <c r="F70" s="172">
        <v>1750</v>
      </c>
      <c r="J70" s="68"/>
    </row>
    <row r="71" spans="1:10">
      <c r="A71" s="171" t="s">
        <v>195</v>
      </c>
      <c r="B71" s="71" t="s">
        <v>318</v>
      </c>
      <c r="C71" s="71" t="s">
        <v>237</v>
      </c>
      <c r="D71" s="72" t="s">
        <v>208</v>
      </c>
      <c r="E71" s="73" t="s">
        <v>194</v>
      </c>
      <c r="F71" s="172">
        <v>1750</v>
      </c>
      <c r="J71" s="68"/>
    </row>
    <row r="72" spans="1:10">
      <c r="A72" s="171" t="s">
        <v>195</v>
      </c>
      <c r="B72" s="71" t="s">
        <v>319</v>
      </c>
      <c r="C72" s="71" t="s">
        <v>320</v>
      </c>
      <c r="D72" s="72" t="s">
        <v>192</v>
      </c>
      <c r="E72" s="73" t="s">
        <v>194</v>
      </c>
      <c r="F72" s="172">
        <v>1750</v>
      </c>
      <c r="J72" s="68"/>
    </row>
    <row r="73" spans="1:10">
      <c r="A73" s="171" t="s">
        <v>195</v>
      </c>
      <c r="B73" s="71" t="s">
        <v>321</v>
      </c>
      <c r="C73" s="71" t="s">
        <v>247</v>
      </c>
      <c r="D73" s="72" t="s">
        <v>199</v>
      </c>
      <c r="E73" s="73" t="s">
        <v>179</v>
      </c>
      <c r="F73" s="172">
        <v>1750</v>
      </c>
      <c r="J73" s="68"/>
    </row>
    <row r="74" spans="1:10">
      <c r="A74" s="171" t="s">
        <v>195</v>
      </c>
      <c r="B74" s="71" t="s">
        <v>322</v>
      </c>
      <c r="C74" s="71" t="s">
        <v>224</v>
      </c>
      <c r="D74" s="72" t="s">
        <v>199</v>
      </c>
      <c r="E74" s="73" t="s">
        <v>198</v>
      </c>
      <c r="F74" s="172">
        <v>1750</v>
      </c>
      <c r="J74" s="68"/>
    </row>
    <row r="75" spans="1:10">
      <c r="A75" s="171" t="s">
        <v>175</v>
      </c>
      <c r="B75" s="71" t="s">
        <v>323</v>
      </c>
      <c r="C75" s="71" t="s">
        <v>324</v>
      </c>
      <c r="D75" s="72" t="s">
        <v>178</v>
      </c>
      <c r="E75" s="73" t="s">
        <v>191</v>
      </c>
      <c r="F75" s="172">
        <v>1754</v>
      </c>
      <c r="J75" s="68"/>
    </row>
    <row r="76" spans="1:10">
      <c r="A76" s="171" t="s">
        <v>175</v>
      </c>
      <c r="B76" s="71" t="s">
        <v>325</v>
      </c>
      <c r="C76" s="71" t="s">
        <v>326</v>
      </c>
      <c r="D76" s="72" t="s">
        <v>199</v>
      </c>
      <c r="E76" s="73" t="s">
        <v>194</v>
      </c>
      <c r="F76" s="172">
        <v>1754</v>
      </c>
      <c r="J76" s="68"/>
    </row>
    <row r="77" spans="1:10">
      <c r="A77" s="171" t="s">
        <v>181</v>
      </c>
      <c r="B77" s="71" t="s">
        <v>327</v>
      </c>
      <c r="C77" s="71" t="s">
        <v>328</v>
      </c>
      <c r="D77" s="72" t="s">
        <v>220</v>
      </c>
      <c r="E77" s="73" t="s">
        <v>198</v>
      </c>
      <c r="F77" s="172">
        <v>1754</v>
      </c>
      <c r="J77" s="68"/>
    </row>
    <row r="78" spans="1:10">
      <c r="A78" s="171" t="s">
        <v>181</v>
      </c>
      <c r="B78" s="71" t="s">
        <v>329</v>
      </c>
      <c r="C78" s="71" t="s">
        <v>330</v>
      </c>
      <c r="D78" s="72" t="s">
        <v>190</v>
      </c>
      <c r="E78" s="73" t="s">
        <v>191</v>
      </c>
      <c r="F78" s="172">
        <v>1754</v>
      </c>
      <c r="J78" s="68"/>
    </row>
    <row r="79" spans="1:10">
      <c r="A79" s="171" t="s">
        <v>181</v>
      </c>
      <c r="B79" s="71" t="s">
        <v>331</v>
      </c>
      <c r="C79" s="71" t="s">
        <v>330</v>
      </c>
      <c r="D79" s="72" t="s">
        <v>199</v>
      </c>
      <c r="E79" s="73" t="s">
        <v>198</v>
      </c>
      <c r="F79" s="172">
        <v>1754</v>
      </c>
      <c r="J79" s="68"/>
    </row>
    <row r="80" spans="1:10">
      <c r="A80" s="171" t="s">
        <v>202</v>
      </c>
      <c r="B80" s="71" t="s">
        <v>332</v>
      </c>
      <c r="C80" s="71" t="s">
        <v>333</v>
      </c>
      <c r="D80" s="72" t="s">
        <v>216</v>
      </c>
      <c r="E80" s="73" t="s">
        <v>194</v>
      </c>
      <c r="F80" s="172">
        <v>1754</v>
      </c>
      <c r="J80" s="68"/>
    </row>
    <row r="81" spans="1:10">
      <c r="A81" s="171" t="s">
        <v>202</v>
      </c>
      <c r="B81" s="71" t="s">
        <v>334</v>
      </c>
      <c r="C81" s="71" t="s">
        <v>335</v>
      </c>
      <c r="D81" s="72" t="s">
        <v>192</v>
      </c>
      <c r="E81" s="73" t="s">
        <v>194</v>
      </c>
      <c r="F81" s="172">
        <v>1754</v>
      </c>
      <c r="J81" s="68"/>
    </row>
    <row r="82" spans="1:10">
      <c r="A82" s="171" t="s">
        <v>202</v>
      </c>
      <c r="B82" s="71" t="s">
        <v>336</v>
      </c>
      <c r="C82" s="71" t="s">
        <v>337</v>
      </c>
      <c r="D82" s="72" t="s">
        <v>208</v>
      </c>
      <c r="E82" s="73" t="s">
        <v>191</v>
      </c>
      <c r="F82" s="172">
        <v>1754</v>
      </c>
      <c r="J82" s="68"/>
    </row>
    <row r="83" spans="1:10">
      <c r="A83" s="171" t="s">
        <v>202</v>
      </c>
      <c r="B83" s="71" t="s">
        <v>338</v>
      </c>
      <c r="C83" s="71" t="s">
        <v>339</v>
      </c>
      <c r="D83" s="72" t="s">
        <v>192</v>
      </c>
      <c r="E83" s="73" t="s">
        <v>191</v>
      </c>
      <c r="F83" s="172">
        <v>1754</v>
      </c>
      <c r="J83" s="68"/>
    </row>
    <row r="84" spans="1:10">
      <c r="A84" s="171" t="s">
        <v>195</v>
      </c>
      <c r="B84" s="71" t="s">
        <v>340</v>
      </c>
      <c r="C84" s="71" t="s">
        <v>341</v>
      </c>
      <c r="D84" s="72" t="s">
        <v>199</v>
      </c>
      <c r="E84" s="73" t="s">
        <v>194</v>
      </c>
      <c r="F84" s="172">
        <v>1754</v>
      </c>
      <c r="J84" s="68"/>
    </row>
    <row r="85" spans="1:10">
      <c r="A85" s="171" t="s">
        <v>195</v>
      </c>
      <c r="B85" s="71" t="s">
        <v>342</v>
      </c>
      <c r="C85" s="71" t="s">
        <v>343</v>
      </c>
      <c r="D85" s="72" t="s">
        <v>178</v>
      </c>
      <c r="E85" s="73" t="s">
        <v>179</v>
      </c>
      <c r="F85" s="172">
        <v>1754</v>
      </c>
      <c r="J85" s="68"/>
    </row>
    <row r="86" spans="1:10">
      <c r="A86" s="171" t="s">
        <v>195</v>
      </c>
      <c r="B86" s="71" t="s">
        <v>344</v>
      </c>
      <c r="C86" s="71" t="s">
        <v>345</v>
      </c>
      <c r="D86" s="72" t="s">
        <v>184</v>
      </c>
      <c r="E86" s="73" t="s">
        <v>198</v>
      </c>
      <c r="F86" s="172">
        <v>1754</v>
      </c>
      <c r="J86" s="68"/>
    </row>
    <row r="87" spans="1:10">
      <c r="A87" s="171" t="s">
        <v>175</v>
      </c>
      <c r="B87" s="71" t="s">
        <v>346</v>
      </c>
      <c r="C87" s="71" t="s">
        <v>347</v>
      </c>
      <c r="D87" s="72" t="s">
        <v>199</v>
      </c>
      <c r="E87" s="73" t="s">
        <v>194</v>
      </c>
      <c r="F87" s="172">
        <v>1785</v>
      </c>
      <c r="J87" s="68"/>
    </row>
    <row r="88" spans="1:10">
      <c r="A88" s="171" t="s">
        <v>175</v>
      </c>
      <c r="B88" s="71" t="s">
        <v>348</v>
      </c>
      <c r="C88" s="71" t="s">
        <v>349</v>
      </c>
      <c r="D88" s="72" t="s">
        <v>190</v>
      </c>
      <c r="E88" s="73" t="s">
        <v>198</v>
      </c>
      <c r="F88" s="172">
        <v>1785</v>
      </c>
      <c r="J88" s="68"/>
    </row>
    <row r="89" spans="1:10">
      <c r="A89" s="171" t="s">
        <v>181</v>
      </c>
      <c r="B89" s="71" t="s">
        <v>350</v>
      </c>
      <c r="C89" s="71" t="s">
        <v>351</v>
      </c>
      <c r="D89" s="72" t="s">
        <v>178</v>
      </c>
      <c r="E89" s="73" t="s">
        <v>179</v>
      </c>
      <c r="F89" s="172">
        <v>1785</v>
      </c>
      <c r="J89" s="68"/>
    </row>
    <row r="90" spans="1:10">
      <c r="A90" s="171" t="s">
        <v>181</v>
      </c>
      <c r="B90" s="71" t="s">
        <v>352</v>
      </c>
      <c r="C90" s="71" t="s">
        <v>353</v>
      </c>
      <c r="D90" s="72" t="s">
        <v>199</v>
      </c>
      <c r="E90" s="73" t="s">
        <v>194</v>
      </c>
      <c r="F90" s="172">
        <v>1785</v>
      </c>
      <c r="J90" s="68"/>
    </row>
    <row r="91" spans="1:10">
      <c r="A91" s="171" t="s">
        <v>181</v>
      </c>
      <c r="B91" s="71" t="s">
        <v>354</v>
      </c>
      <c r="C91" s="71" t="s">
        <v>228</v>
      </c>
      <c r="D91" s="72" t="s">
        <v>199</v>
      </c>
      <c r="E91" s="73" t="s">
        <v>191</v>
      </c>
      <c r="F91" s="172">
        <v>1785</v>
      </c>
      <c r="J91" s="68"/>
    </row>
    <row r="92" spans="1:10">
      <c r="A92" s="171" t="s">
        <v>181</v>
      </c>
      <c r="B92" s="71" t="s">
        <v>355</v>
      </c>
      <c r="C92" s="71" t="s">
        <v>215</v>
      </c>
      <c r="D92" s="72" t="s">
        <v>220</v>
      </c>
      <c r="E92" s="73" t="s">
        <v>179</v>
      </c>
      <c r="F92" s="172">
        <v>1785</v>
      </c>
      <c r="J92" s="68"/>
    </row>
    <row r="93" spans="1:10">
      <c r="A93" s="171" t="s">
        <v>202</v>
      </c>
      <c r="B93" s="71" t="s">
        <v>356</v>
      </c>
      <c r="C93" s="71" t="s">
        <v>357</v>
      </c>
      <c r="D93" s="72" t="s">
        <v>199</v>
      </c>
      <c r="E93" s="73" t="s">
        <v>179</v>
      </c>
      <c r="F93" s="172">
        <v>1785</v>
      </c>
      <c r="J93" s="68"/>
    </row>
    <row r="94" spans="1:10">
      <c r="A94" s="171" t="s">
        <v>202</v>
      </c>
      <c r="B94" s="71" t="s">
        <v>358</v>
      </c>
      <c r="C94" s="71" t="s">
        <v>359</v>
      </c>
      <c r="D94" s="72" t="s">
        <v>203</v>
      </c>
      <c r="E94" s="73" t="s">
        <v>198</v>
      </c>
      <c r="F94" s="172">
        <v>1785</v>
      </c>
      <c r="J94" s="68"/>
    </row>
    <row r="95" spans="1:10">
      <c r="A95" s="171" t="s">
        <v>202</v>
      </c>
      <c r="B95" s="71" t="s">
        <v>360</v>
      </c>
      <c r="C95" s="71" t="s">
        <v>361</v>
      </c>
      <c r="D95" s="72" t="s">
        <v>203</v>
      </c>
      <c r="E95" s="73" t="s">
        <v>191</v>
      </c>
      <c r="F95" s="172">
        <v>1785</v>
      </c>
      <c r="J95" s="68"/>
    </row>
    <row r="96" spans="1:10">
      <c r="A96" s="171" t="s">
        <v>195</v>
      </c>
      <c r="B96" s="71" t="s">
        <v>362</v>
      </c>
      <c r="C96" s="71" t="s">
        <v>363</v>
      </c>
      <c r="D96" s="72" t="s">
        <v>184</v>
      </c>
      <c r="E96" s="73" t="s">
        <v>179</v>
      </c>
      <c r="F96" s="172">
        <v>1785</v>
      </c>
      <c r="J96" s="68"/>
    </row>
    <row r="97" spans="1:10">
      <c r="A97" s="171" t="s">
        <v>195</v>
      </c>
      <c r="B97" s="71" t="s">
        <v>364</v>
      </c>
      <c r="C97" s="71" t="s">
        <v>365</v>
      </c>
      <c r="D97" s="72" t="s">
        <v>199</v>
      </c>
      <c r="E97" s="73" t="s">
        <v>179</v>
      </c>
      <c r="F97" s="172">
        <v>1785</v>
      </c>
      <c r="J97" s="68"/>
    </row>
    <row r="98" spans="1:10">
      <c r="A98" s="171" t="s">
        <v>195</v>
      </c>
      <c r="B98" s="71" t="s">
        <v>366</v>
      </c>
      <c r="C98" s="71" t="s">
        <v>367</v>
      </c>
      <c r="D98" s="72" t="s">
        <v>199</v>
      </c>
      <c r="E98" s="73" t="s">
        <v>194</v>
      </c>
      <c r="F98" s="172">
        <v>1785</v>
      </c>
      <c r="J98" s="68"/>
    </row>
    <row r="99" spans="1:10">
      <c r="A99" s="171" t="s">
        <v>195</v>
      </c>
      <c r="B99" s="71" t="s">
        <v>368</v>
      </c>
      <c r="C99" s="71" t="s">
        <v>369</v>
      </c>
      <c r="D99" s="72" t="s">
        <v>192</v>
      </c>
      <c r="E99" s="73" t="s">
        <v>191</v>
      </c>
      <c r="F99" s="172">
        <v>1785</v>
      </c>
      <c r="J99" s="68"/>
    </row>
    <row r="100" spans="1:10">
      <c r="A100" s="171" t="s">
        <v>195</v>
      </c>
      <c r="B100" s="71" t="s">
        <v>370</v>
      </c>
      <c r="C100" s="71" t="s">
        <v>371</v>
      </c>
      <c r="D100" s="72" t="s">
        <v>192</v>
      </c>
      <c r="E100" s="73" t="s">
        <v>179</v>
      </c>
      <c r="F100" s="172">
        <v>1785</v>
      </c>
      <c r="J100" s="68"/>
    </row>
    <row r="101" spans="1:10">
      <c r="A101" s="171" t="s">
        <v>195</v>
      </c>
      <c r="B101" s="71" t="s">
        <v>372</v>
      </c>
      <c r="C101" s="71" t="s">
        <v>373</v>
      </c>
      <c r="D101" s="72" t="s">
        <v>192</v>
      </c>
      <c r="E101" s="73" t="s">
        <v>198</v>
      </c>
      <c r="F101" s="172">
        <v>1785</v>
      </c>
      <c r="J101" s="68"/>
    </row>
    <row r="102" spans="1:10">
      <c r="A102" s="171" t="s">
        <v>195</v>
      </c>
      <c r="B102" s="71" t="s">
        <v>374</v>
      </c>
      <c r="C102" s="71" t="s">
        <v>375</v>
      </c>
      <c r="D102" s="72" t="s">
        <v>203</v>
      </c>
      <c r="E102" s="73" t="s">
        <v>194</v>
      </c>
      <c r="F102" s="172">
        <v>1785</v>
      </c>
      <c r="J102" s="68"/>
    </row>
    <row r="103" spans="1:10">
      <c r="A103" s="171" t="s">
        <v>181</v>
      </c>
      <c r="B103" s="71" t="s">
        <v>221</v>
      </c>
      <c r="C103" s="71" t="s">
        <v>376</v>
      </c>
      <c r="D103" s="72" t="s">
        <v>178</v>
      </c>
      <c r="E103" s="73" t="s">
        <v>194</v>
      </c>
      <c r="F103" s="172">
        <v>1790</v>
      </c>
      <c r="J103" s="68"/>
    </row>
    <row r="104" spans="1:10">
      <c r="A104" s="171" t="s">
        <v>202</v>
      </c>
      <c r="B104" s="71" t="s">
        <v>377</v>
      </c>
      <c r="C104" s="71" t="s">
        <v>376</v>
      </c>
      <c r="D104" s="72" t="s">
        <v>199</v>
      </c>
      <c r="E104" s="73" t="s">
        <v>179</v>
      </c>
      <c r="F104" s="172">
        <v>1790</v>
      </c>
      <c r="J104" s="68"/>
    </row>
    <row r="105" spans="1:10">
      <c r="A105" s="171" t="s">
        <v>195</v>
      </c>
      <c r="B105" s="71" t="s">
        <v>378</v>
      </c>
      <c r="C105" s="71" t="s">
        <v>376</v>
      </c>
      <c r="D105" s="72" t="s">
        <v>199</v>
      </c>
      <c r="E105" s="73" t="s">
        <v>191</v>
      </c>
      <c r="F105" s="172">
        <v>1790</v>
      </c>
      <c r="J105" s="68"/>
    </row>
    <row r="106" spans="1:10">
      <c r="A106" s="171" t="s">
        <v>202</v>
      </c>
      <c r="B106" s="71" t="s">
        <v>379</v>
      </c>
      <c r="C106" s="71" t="s">
        <v>380</v>
      </c>
      <c r="D106" s="72" t="s">
        <v>178</v>
      </c>
      <c r="E106" s="73" t="s">
        <v>198</v>
      </c>
      <c r="F106" s="172">
        <v>1820</v>
      </c>
      <c r="J106" s="68"/>
    </row>
    <row r="107" spans="1:10">
      <c r="A107" s="171" t="s">
        <v>175</v>
      </c>
      <c r="B107" s="71" t="s">
        <v>381</v>
      </c>
      <c r="C107" s="71" t="s">
        <v>382</v>
      </c>
      <c r="D107" s="72" t="s">
        <v>216</v>
      </c>
      <c r="E107" s="73" t="s">
        <v>191</v>
      </c>
      <c r="F107" s="172">
        <v>1851</v>
      </c>
      <c r="J107" s="68"/>
    </row>
    <row r="108" spans="1:10">
      <c r="A108" s="171" t="s">
        <v>202</v>
      </c>
      <c r="B108" s="71" t="s">
        <v>383</v>
      </c>
      <c r="C108" s="71" t="s">
        <v>382</v>
      </c>
      <c r="D108" s="72" t="s">
        <v>192</v>
      </c>
      <c r="E108" s="73" t="s">
        <v>198</v>
      </c>
      <c r="F108" s="172">
        <v>1851</v>
      </c>
      <c r="J108" s="68"/>
    </row>
    <row r="109" spans="1:10">
      <c r="A109" s="171" t="s">
        <v>175</v>
      </c>
      <c r="B109" s="71" t="s">
        <v>384</v>
      </c>
      <c r="C109" s="71" t="s">
        <v>385</v>
      </c>
      <c r="D109" s="72" t="s">
        <v>199</v>
      </c>
      <c r="E109" s="73" t="s">
        <v>179</v>
      </c>
      <c r="F109" s="172">
        <v>1853</v>
      </c>
      <c r="J109" s="68"/>
    </row>
    <row r="110" spans="1:10">
      <c r="A110" s="171" t="s">
        <v>181</v>
      </c>
      <c r="B110" s="71" t="s">
        <v>386</v>
      </c>
      <c r="C110" s="71" t="s">
        <v>387</v>
      </c>
      <c r="D110" s="72" t="s">
        <v>208</v>
      </c>
      <c r="E110" s="73" t="s">
        <v>191</v>
      </c>
      <c r="F110" s="172">
        <v>1857</v>
      </c>
      <c r="J110" s="68"/>
    </row>
    <row r="111" spans="1:10">
      <c r="A111" s="171" t="s">
        <v>195</v>
      </c>
      <c r="B111" s="71" t="s">
        <v>388</v>
      </c>
      <c r="C111" s="71" t="s">
        <v>313</v>
      </c>
      <c r="D111" s="72" t="s">
        <v>216</v>
      </c>
      <c r="E111" s="73" t="s">
        <v>191</v>
      </c>
      <c r="F111" s="172">
        <v>1890</v>
      </c>
      <c r="J111" s="68"/>
    </row>
    <row r="112" spans="1:10">
      <c r="A112" s="171" t="s">
        <v>195</v>
      </c>
      <c r="B112" s="71" t="s">
        <v>389</v>
      </c>
      <c r="C112" s="71" t="s">
        <v>390</v>
      </c>
      <c r="D112" s="72" t="s">
        <v>192</v>
      </c>
      <c r="E112" s="73" t="s">
        <v>179</v>
      </c>
      <c r="F112" s="172">
        <v>1983</v>
      </c>
      <c r="J112" s="68"/>
    </row>
    <row r="113" spans="1:10">
      <c r="A113" s="171" t="s">
        <v>202</v>
      </c>
      <c r="B113" s="71" t="s">
        <v>322</v>
      </c>
      <c r="C113" s="71" t="s">
        <v>391</v>
      </c>
      <c r="D113" s="72" t="s">
        <v>216</v>
      </c>
      <c r="E113" s="73" t="s">
        <v>191</v>
      </c>
      <c r="F113" s="172">
        <v>2046</v>
      </c>
      <c r="J113" s="68"/>
    </row>
    <row r="114" spans="1:10">
      <c r="A114" s="171" t="s">
        <v>202</v>
      </c>
      <c r="B114" s="71" t="s">
        <v>392</v>
      </c>
      <c r="C114" s="71" t="s">
        <v>393</v>
      </c>
      <c r="D114" s="72" t="s">
        <v>203</v>
      </c>
      <c r="E114" s="73" t="s">
        <v>191</v>
      </c>
      <c r="F114" s="172">
        <v>2100</v>
      </c>
      <c r="J114" s="68"/>
    </row>
    <row r="115" spans="1:10">
      <c r="A115" s="171" t="s">
        <v>202</v>
      </c>
      <c r="B115" s="71" t="s">
        <v>394</v>
      </c>
      <c r="C115" s="71" t="s">
        <v>249</v>
      </c>
      <c r="D115" s="72" t="s">
        <v>199</v>
      </c>
      <c r="E115" s="73" t="s">
        <v>191</v>
      </c>
      <c r="F115" s="172">
        <v>2101</v>
      </c>
      <c r="J115" s="68"/>
    </row>
    <row r="116" spans="1:10">
      <c r="A116" s="171" t="s">
        <v>181</v>
      </c>
      <c r="B116" s="71" t="s">
        <v>395</v>
      </c>
      <c r="C116" s="71" t="s">
        <v>396</v>
      </c>
      <c r="D116" s="72" t="s">
        <v>208</v>
      </c>
      <c r="E116" s="73" t="s">
        <v>191</v>
      </c>
      <c r="F116" s="172">
        <v>2141</v>
      </c>
      <c r="J116" s="68"/>
    </row>
    <row r="117" spans="1:10">
      <c r="A117" s="171" t="s">
        <v>175</v>
      </c>
      <c r="B117" s="71" t="s">
        <v>397</v>
      </c>
      <c r="C117" s="71" t="s">
        <v>259</v>
      </c>
      <c r="D117" s="72" t="s">
        <v>199</v>
      </c>
      <c r="E117" s="73" t="s">
        <v>179</v>
      </c>
      <c r="F117" s="172">
        <v>2174</v>
      </c>
      <c r="J117" s="68"/>
    </row>
    <row r="118" spans="1:10">
      <c r="A118" s="171" t="s">
        <v>202</v>
      </c>
      <c r="B118" s="71" t="s">
        <v>398</v>
      </c>
      <c r="C118" s="71" t="s">
        <v>339</v>
      </c>
      <c r="D118" s="72" t="s">
        <v>216</v>
      </c>
      <c r="E118" s="73" t="s">
        <v>194</v>
      </c>
      <c r="F118" s="172">
        <v>2260</v>
      </c>
      <c r="J118" s="68"/>
    </row>
    <row r="119" spans="1:10">
      <c r="A119" s="171" t="s">
        <v>181</v>
      </c>
      <c r="B119" s="71" t="s">
        <v>399</v>
      </c>
      <c r="C119" s="71" t="s">
        <v>320</v>
      </c>
      <c r="D119" s="72" t="s">
        <v>199</v>
      </c>
      <c r="E119" s="73" t="s">
        <v>198</v>
      </c>
      <c r="F119" s="172">
        <v>2273</v>
      </c>
      <c r="J119" s="68"/>
    </row>
    <row r="120" spans="1:10">
      <c r="A120" s="171" t="s">
        <v>202</v>
      </c>
      <c r="B120" s="71" t="s">
        <v>400</v>
      </c>
      <c r="C120" s="71" t="s">
        <v>201</v>
      </c>
      <c r="D120" s="72" t="s">
        <v>190</v>
      </c>
      <c r="E120" s="73" t="s">
        <v>194</v>
      </c>
      <c r="F120" s="172">
        <v>2273</v>
      </c>
      <c r="J120" s="68"/>
    </row>
    <row r="121" spans="1:10">
      <c r="A121" s="171" t="s">
        <v>195</v>
      </c>
      <c r="B121" s="71" t="s">
        <v>401</v>
      </c>
      <c r="C121" s="71" t="s">
        <v>402</v>
      </c>
      <c r="D121" s="72" t="s">
        <v>178</v>
      </c>
      <c r="E121" s="73" t="s">
        <v>179</v>
      </c>
      <c r="F121" s="172">
        <v>2273</v>
      </c>
      <c r="J121" s="68"/>
    </row>
    <row r="122" spans="1:10">
      <c r="A122" s="171" t="s">
        <v>175</v>
      </c>
      <c r="B122" s="71" t="s">
        <v>403</v>
      </c>
      <c r="C122" s="71" t="s">
        <v>300</v>
      </c>
      <c r="D122" s="72" t="s">
        <v>203</v>
      </c>
      <c r="E122" s="73" t="s">
        <v>191</v>
      </c>
      <c r="F122" s="172">
        <v>2286</v>
      </c>
      <c r="J122" s="68"/>
    </row>
    <row r="123" spans="1:10">
      <c r="A123" s="171" t="s">
        <v>202</v>
      </c>
      <c r="B123" s="71" t="s">
        <v>404</v>
      </c>
      <c r="C123" s="71" t="s">
        <v>375</v>
      </c>
      <c r="D123" s="72" t="s">
        <v>203</v>
      </c>
      <c r="E123" s="73" t="s">
        <v>198</v>
      </c>
      <c r="F123" s="172">
        <v>2352</v>
      </c>
      <c r="J123" s="68"/>
    </row>
    <row r="124" spans="1:10">
      <c r="A124" s="171" t="s">
        <v>195</v>
      </c>
      <c r="B124" s="71" t="s">
        <v>405</v>
      </c>
      <c r="C124" s="71" t="s">
        <v>382</v>
      </c>
      <c r="D124" s="72" t="s">
        <v>199</v>
      </c>
      <c r="E124" s="73" t="s">
        <v>191</v>
      </c>
      <c r="F124" s="172">
        <v>2352</v>
      </c>
      <c r="J124" s="68"/>
    </row>
    <row r="125" spans="1:10">
      <c r="A125" s="171" t="s">
        <v>195</v>
      </c>
      <c r="B125" s="71" t="s">
        <v>406</v>
      </c>
      <c r="C125" s="71" t="s">
        <v>407</v>
      </c>
      <c r="D125" s="72" t="s">
        <v>216</v>
      </c>
      <c r="E125" s="73" t="s">
        <v>198</v>
      </c>
      <c r="F125" s="172">
        <v>2352</v>
      </c>
      <c r="J125" s="68"/>
    </row>
    <row r="126" spans="1:10">
      <c r="A126" s="171" t="s">
        <v>195</v>
      </c>
      <c r="B126" s="71" t="s">
        <v>408</v>
      </c>
      <c r="C126" s="71" t="s">
        <v>382</v>
      </c>
      <c r="D126" s="72" t="s">
        <v>178</v>
      </c>
      <c r="E126" s="73" t="s">
        <v>191</v>
      </c>
      <c r="F126" s="172">
        <v>2352</v>
      </c>
      <c r="J126" s="68"/>
    </row>
    <row r="127" spans="1:10">
      <c r="A127" s="171" t="s">
        <v>175</v>
      </c>
      <c r="B127" s="71" t="s">
        <v>193</v>
      </c>
      <c r="C127" s="71" t="s">
        <v>409</v>
      </c>
      <c r="D127" s="72" t="s">
        <v>208</v>
      </c>
      <c r="E127" s="73" t="s">
        <v>191</v>
      </c>
      <c r="F127" s="172">
        <v>2379</v>
      </c>
      <c r="J127" s="68"/>
    </row>
    <row r="128" spans="1:10">
      <c r="A128" s="171" t="s">
        <v>181</v>
      </c>
      <c r="B128" s="71" t="s">
        <v>410</v>
      </c>
      <c r="C128" s="71" t="s">
        <v>409</v>
      </c>
      <c r="D128" s="72" t="s">
        <v>199</v>
      </c>
      <c r="E128" s="73" t="s">
        <v>194</v>
      </c>
      <c r="F128" s="172">
        <v>2379</v>
      </c>
      <c r="J128" s="68"/>
    </row>
    <row r="129" spans="1:10">
      <c r="A129" s="171" t="s">
        <v>181</v>
      </c>
      <c r="B129" s="71" t="s">
        <v>411</v>
      </c>
      <c r="C129" s="71" t="s">
        <v>407</v>
      </c>
      <c r="D129" s="72" t="s">
        <v>199</v>
      </c>
      <c r="E129" s="73" t="s">
        <v>194</v>
      </c>
      <c r="F129" s="172">
        <v>2379</v>
      </c>
      <c r="J129" s="68"/>
    </row>
    <row r="130" spans="1:10">
      <c r="A130" s="171" t="s">
        <v>195</v>
      </c>
      <c r="B130" s="71" t="s">
        <v>322</v>
      </c>
      <c r="C130" s="71" t="s">
        <v>412</v>
      </c>
      <c r="D130" s="72" t="s">
        <v>192</v>
      </c>
      <c r="E130" s="73" t="s">
        <v>198</v>
      </c>
      <c r="F130" s="172">
        <v>2405</v>
      </c>
      <c r="J130" s="68"/>
    </row>
    <row r="131" spans="1:10">
      <c r="A131" s="171" t="s">
        <v>175</v>
      </c>
      <c r="B131" s="71" t="s">
        <v>413</v>
      </c>
      <c r="C131" s="71" t="s">
        <v>414</v>
      </c>
      <c r="D131" s="72" t="s">
        <v>184</v>
      </c>
      <c r="E131" s="73" t="s">
        <v>179</v>
      </c>
      <c r="F131" s="172">
        <v>2484</v>
      </c>
      <c r="J131" s="68"/>
    </row>
    <row r="132" spans="1:10">
      <c r="A132" s="171" t="s">
        <v>175</v>
      </c>
      <c r="B132" s="71" t="s">
        <v>415</v>
      </c>
      <c r="C132" s="71" t="s">
        <v>414</v>
      </c>
      <c r="D132" s="72" t="s">
        <v>203</v>
      </c>
      <c r="E132" s="73" t="s">
        <v>198</v>
      </c>
      <c r="F132" s="172">
        <v>2511</v>
      </c>
      <c r="J132" s="68"/>
    </row>
    <row r="133" spans="1:10">
      <c r="A133" s="171" t="s">
        <v>181</v>
      </c>
      <c r="B133" s="71" t="s">
        <v>226</v>
      </c>
      <c r="C133" s="71" t="s">
        <v>347</v>
      </c>
      <c r="D133" s="72" t="s">
        <v>190</v>
      </c>
      <c r="E133" s="73" t="s">
        <v>191</v>
      </c>
      <c r="F133" s="172">
        <v>2511</v>
      </c>
      <c r="J133" s="68"/>
    </row>
    <row r="134" spans="1:10">
      <c r="A134" s="171" t="s">
        <v>195</v>
      </c>
      <c r="B134" s="71" t="s">
        <v>416</v>
      </c>
      <c r="C134" s="71" t="s">
        <v>251</v>
      </c>
      <c r="D134" s="72" t="s">
        <v>192</v>
      </c>
      <c r="E134" s="73" t="s">
        <v>194</v>
      </c>
      <c r="F134" s="172">
        <v>2775</v>
      </c>
      <c r="J134" s="68"/>
    </row>
    <row r="135" spans="1:10">
      <c r="A135" s="171" t="s">
        <v>181</v>
      </c>
      <c r="B135" s="71" t="s">
        <v>417</v>
      </c>
      <c r="C135" s="71" t="s">
        <v>259</v>
      </c>
      <c r="D135" s="72" t="s">
        <v>220</v>
      </c>
      <c r="E135" s="73" t="s">
        <v>179</v>
      </c>
      <c r="F135" s="172">
        <v>2800</v>
      </c>
      <c r="J135" s="68"/>
    </row>
    <row r="136" spans="1:10">
      <c r="A136" s="171" t="s">
        <v>202</v>
      </c>
      <c r="B136" s="71" t="s">
        <v>418</v>
      </c>
      <c r="C136" s="71" t="s">
        <v>224</v>
      </c>
      <c r="D136" s="72" t="s">
        <v>192</v>
      </c>
      <c r="E136" s="73" t="s">
        <v>191</v>
      </c>
      <c r="F136" s="172">
        <v>3039</v>
      </c>
      <c r="J136" s="68"/>
    </row>
    <row r="137" spans="1:10">
      <c r="A137" s="171" t="s">
        <v>181</v>
      </c>
      <c r="B137" s="71" t="s">
        <v>419</v>
      </c>
      <c r="C137" s="71" t="s">
        <v>420</v>
      </c>
      <c r="D137" s="72" t="s">
        <v>184</v>
      </c>
      <c r="E137" s="73" t="s">
        <v>191</v>
      </c>
      <c r="F137" s="172">
        <v>3303</v>
      </c>
      <c r="J137" s="68"/>
    </row>
    <row r="138" spans="1:10">
      <c r="A138" s="171" t="s">
        <v>195</v>
      </c>
      <c r="B138" s="71" t="s">
        <v>421</v>
      </c>
      <c r="C138" s="71" t="s">
        <v>422</v>
      </c>
      <c r="D138" s="72" t="s">
        <v>208</v>
      </c>
      <c r="E138" s="73" t="s">
        <v>198</v>
      </c>
      <c r="F138" s="172">
        <v>3474</v>
      </c>
      <c r="J138" s="68"/>
    </row>
    <row r="139" spans="1:10">
      <c r="A139" s="171" t="s">
        <v>195</v>
      </c>
      <c r="B139" s="71" t="s">
        <v>423</v>
      </c>
      <c r="C139" s="71" t="s">
        <v>424</v>
      </c>
      <c r="D139" s="72" t="s">
        <v>220</v>
      </c>
      <c r="E139" s="73" t="s">
        <v>194</v>
      </c>
      <c r="F139" s="172">
        <v>3700</v>
      </c>
      <c r="J139" s="68"/>
    </row>
    <row r="140" spans="1:10">
      <c r="A140" s="171" t="s">
        <v>202</v>
      </c>
      <c r="B140" s="71" t="s">
        <v>425</v>
      </c>
      <c r="C140" s="71" t="s">
        <v>201</v>
      </c>
      <c r="D140" s="72" t="s">
        <v>203</v>
      </c>
      <c r="E140" s="73" t="s">
        <v>198</v>
      </c>
      <c r="F140" s="172">
        <v>3817</v>
      </c>
      <c r="J140" s="68"/>
    </row>
    <row r="141" spans="1:10">
      <c r="A141" s="171" t="s">
        <v>181</v>
      </c>
      <c r="B141" s="71" t="s">
        <v>426</v>
      </c>
      <c r="C141" s="71" t="s">
        <v>427</v>
      </c>
      <c r="D141" s="72" t="s">
        <v>178</v>
      </c>
      <c r="E141" s="73" t="s">
        <v>194</v>
      </c>
      <c r="F141" s="172">
        <v>4227</v>
      </c>
      <c r="J141" s="68"/>
    </row>
    <row r="142" spans="1:10">
      <c r="A142" s="171" t="s">
        <v>195</v>
      </c>
      <c r="B142" s="71" t="s">
        <v>428</v>
      </c>
      <c r="C142" s="71" t="s">
        <v>317</v>
      </c>
      <c r="D142" s="72" t="s">
        <v>192</v>
      </c>
      <c r="E142" s="73" t="s">
        <v>179</v>
      </c>
      <c r="F142" s="172">
        <v>4227</v>
      </c>
      <c r="J142" s="68"/>
    </row>
    <row r="143" spans="1:10">
      <c r="A143" s="171" t="s">
        <v>181</v>
      </c>
      <c r="B143" s="71" t="s">
        <v>429</v>
      </c>
      <c r="C143" s="71" t="s">
        <v>402</v>
      </c>
      <c r="D143" s="72" t="s">
        <v>216</v>
      </c>
      <c r="E143" s="73" t="s">
        <v>194</v>
      </c>
      <c r="F143" s="172">
        <v>4755</v>
      </c>
      <c r="J143" s="68"/>
    </row>
    <row r="144" spans="1:10">
      <c r="A144" s="176" t="s">
        <v>175</v>
      </c>
      <c r="B144" s="177" t="s">
        <v>430</v>
      </c>
      <c r="C144" s="177" t="s">
        <v>402</v>
      </c>
      <c r="D144" s="178" t="s">
        <v>184</v>
      </c>
      <c r="E144" s="179" t="s">
        <v>191</v>
      </c>
      <c r="F144" s="180">
        <v>5900</v>
      </c>
      <c r="J144" s="68"/>
    </row>
    <row r="145" spans="10:10">
      <c r="J145" s="68"/>
    </row>
    <row r="146" spans="10:10">
      <c r="J146" s="68"/>
    </row>
    <row r="147" spans="10:10">
      <c r="J147" s="68"/>
    </row>
    <row r="148" spans="10:10">
      <c r="J148" s="68"/>
    </row>
    <row r="149" spans="10:10">
      <c r="J149" s="68"/>
    </row>
    <row r="150" spans="10:10">
      <c r="J150" s="68"/>
    </row>
    <row r="151" spans="10:10">
      <c r="J151" s="68"/>
    </row>
    <row r="152" spans="10:10">
      <c r="J152" s="68"/>
    </row>
    <row r="153" spans="10:10">
      <c r="J153" s="68"/>
    </row>
    <row r="154" spans="10:10">
      <c r="J154" s="68"/>
    </row>
    <row r="155" spans="10:10">
      <c r="J155" s="68"/>
    </row>
    <row r="156" spans="10:10">
      <c r="J156" s="68"/>
    </row>
    <row r="157" spans="10:10">
      <c r="J157" s="68"/>
    </row>
    <row r="158" spans="10:10">
      <c r="J158" s="68"/>
    </row>
    <row r="159" spans="10:10">
      <c r="J159" s="68"/>
    </row>
    <row r="160" spans="10:10">
      <c r="J160" s="68"/>
    </row>
  </sheetData>
  <mergeCells count="7">
    <mergeCell ref="J17:K18"/>
    <mergeCell ref="L17:L18"/>
    <mergeCell ref="J2:K3"/>
    <mergeCell ref="L2:L3"/>
    <mergeCell ref="R3:T3"/>
    <mergeCell ref="J9:K10"/>
    <mergeCell ref="L9:L10"/>
  </mergeCells>
  <pageMargins left="0.75" right="0.14000000000000001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0">
    <tabColor rgb="FF00B050"/>
  </sheetPr>
  <dimension ref="A1:M32"/>
  <sheetViews>
    <sheetView showGridLines="0" zoomScale="85" zoomScaleNormal="85" workbookViewId="0"/>
  </sheetViews>
  <sheetFormatPr baseColWidth="10" defaultColWidth="11.44140625" defaultRowHeight="13.2"/>
  <cols>
    <col min="1" max="1" width="40.21875" style="58" bestFit="1" customWidth="1"/>
    <col min="2" max="2" width="16.5546875" style="58" customWidth="1"/>
    <col min="3" max="3" width="12.88671875" style="58" customWidth="1"/>
    <col min="4" max="4" width="40.21875" style="58" bestFit="1" customWidth="1"/>
    <col min="5" max="5" width="36" style="58" customWidth="1"/>
    <col min="6" max="6" width="11.44140625" style="58"/>
    <col min="7" max="7" width="13.44140625" style="58" customWidth="1"/>
    <col min="8" max="9" width="11.44140625" style="58"/>
    <col min="10" max="10" width="20.109375" style="58" customWidth="1"/>
    <col min="11" max="11" width="25.44140625" style="58" customWidth="1"/>
    <col min="12" max="12" width="39.33203125" style="58" bestFit="1" customWidth="1"/>
    <col min="13" max="13" width="27.109375" style="58" customWidth="1"/>
    <col min="14" max="17" width="8" style="58" customWidth="1"/>
    <col min="18" max="16384" width="11.44140625" style="58"/>
  </cols>
  <sheetData>
    <row r="1" spans="1:13" ht="15.6">
      <c r="A1" s="78" t="s">
        <v>431</v>
      </c>
      <c r="B1" s="58" t="s">
        <v>432</v>
      </c>
    </row>
    <row r="2" spans="1:13" ht="15.6">
      <c r="A2" s="78" t="s">
        <v>433</v>
      </c>
      <c r="B2" s="58" t="s">
        <v>434</v>
      </c>
    </row>
    <row r="3" spans="1:13" ht="15.6">
      <c r="A3" s="78" t="s">
        <v>435</v>
      </c>
      <c r="B3" s="58" t="s">
        <v>436</v>
      </c>
    </row>
    <row r="4" spans="1:13" ht="16.5" customHeight="1" thickBot="1">
      <c r="A4" s="79" t="s">
        <v>437</v>
      </c>
      <c r="B4" s="225" t="s">
        <v>438</v>
      </c>
      <c r="C4" s="225"/>
      <c r="D4" s="225"/>
      <c r="E4" s="225"/>
      <c r="L4" s="226" t="s">
        <v>654</v>
      </c>
      <c r="M4" s="228" t="s">
        <v>655</v>
      </c>
    </row>
    <row r="5" spans="1:13">
      <c r="B5" s="225"/>
      <c r="C5" s="225"/>
      <c r="D5" s="225"/>
      <c r="E5" s="225"/>
      <c r="L5" s="226"/>
      <c r="M5" s="228"/>
    </row>
    <row r="6" spans="1:13">
      <c r="L6" s="226"/>
      <c r="M6" s="228"/>
    </row>
    <row r="7" spans="1:13" ht="15.6">
      <c r="A7" s="80" t="s">
        <v>439</v>
      </c>
      <c r="L7" s="226"/>
      <c r="M7" s="228"/>
    </row>
    <row r="8" spans="1:13" ht="12.75" customHeight="1">
      <c r="F8" s="58" t="s">
        <v>786</v>
      </c>
      <c r="G8" s="58" t="s">
        <v>785</v>
      </c>
      <c r="H8" s="58" t="s">
        <v>787</v>
      </c>
      <c r="I8" s="58" t="s">
        <v>788</v>
      </c>
      <c r="J8" s="58" t="s">
        <v>789</v>
      </c>
      <c r="L8" s="227"/>
      <c r="M8" s="228"/>
    </row>
    <row r="9" spans="1:13" s="104" customFormat="1" ht="44.25" customHeight="1">
      <c r="A9" s="103" t="s">
        <v>440</v>
      </c>
      <c r="B9" s="103" t="s">
        <v>441</v>
      </c>
      <c r="C9" s="103" t="s">
        <v>443</v>
      </c>
      <c r="D9" s="103" t="s">
        <v>646</v>
      </c>
      <c r="E9" s="103" t="s">
        <v>647</v>
      </c>
      <c r="F9" s="103" t="s">
        <v>648</v>
      </c>
      <c r="G9" s="103" t="s">
        <v>649</v>
      </c>
      <c r="H9" s="103" t="s">
        <v>650</v>
      </c>
      <c r="I9" s="103" t="s">
        <v>651</v>
      </c>
      <c r="J9" s="103" t="s">
        <v>652</v>
      </c>
      <c r="K9" s="103" t="s">
        <v>653</v>
      </c>
      <c r="L9" s="103" t="s">
        <v>722</v>
      </c>
      <c r="M9" s="103" t="s">
        <v>723</v>
      </c>
    </row>
    <row r="10" spans="1:13">
      <c r="A10" s="64" t="s">
        <v>763</v>
      </c>
      <c r="B10" s="64" t="s">
        <v>483</v>
      </c>
      <c r="C10" s="82">
        <v>1</v>
      </c>
      <c r="D10" s="182" t="str">
        <f>+UPPER(A10)</f>
        <v>RICARDO DE JESUS VARELA HERNANDEZ</v>
      </c>
      <c r="E10" s="182" t="str">
        <f>+PROPER(A10)</f>
        <v>Ricardo De Jesus Varela Hernandez</v>
      </c>
      <c r="F10" s="63" t="str">
        <f>+MID(B10,4,4)</f>
        <v>1804</v>
      </c>
      <c r="G10" s="63">
        <f>+LEN(A10)</f>
        <v>33</v>
      </c>
      <c r="H10" s="63" t="str">
        <f>+LEFT(A10)</f>
        <v>R</v>
      </c>
      <c r="I10" s="63" t="str">
        <f>+RIGHT(B10)</f>
        <v>W</v>
      </c>
      <c r="J10" s="63">
        <f>+SEARCH(" ",A10)</f>
        <v>8</v>
      </c>
      <c r="K10" s="182" t="str">
        <f>+LOWER(CONCATENATE(LEFT(A10,SEARCH(" ",A10)-1),C10,"_",LEFT(B10,3),"@CONSART.COM"))</f>
        <v>ricardo1_001@consart.com</v>
      </c>
      <c r="L10" s="182" t="str">
        <f>+CONCATENATE("Mi nombre es ",LEFT(A10,SEARCH(" ",A10)-1), " y naci en el año ",MID(B10,8,2))</f>
        <v>Mi nombre es RICARDO y naci en el año 58</v>
      </c>
      <c r="M10" s="63" t="str">
        <f>+CONCATENATE(LEFT(B10,3),"-",MID(B10,4,6),"-",RIGHT(B10,5))</f>
        <v>001-180458-0050W</v>
      </c>
    </row>
    <row r="11" spans="1:13">
      <c r="A11" s="64" t="s">
        <v>764</v>
      </c>
      <c r="B11" s="64" t="s">
        <v>473</v>
      </c>
      <c r="C11" s="82">
        <v>1</v>
      </c>
      <c r="D11" s="182" t="str">
        <f t="shared" ref="D11:D31" si="0">+UPPER(A11)</f>
        <v>VERÓNICA MARÍA MÉNDEZ</v>
      </c>
      <c r="E11" s="182" t="str">
        <f t="shared" ref="E11:E31" si="1">+PROPER(A11)</f>
        <v>Verónica María Méndez</v>
      </c>
      <c r="F11" s="63" t="str">
        <f t="shared" ref="F11:F31" si="2">+MID(B11,4,4)</f>
        <v>1012</v>
      </c>
      <c r="G11" s="63">
        <f t="shared" ref="G11:G31" si="3">+LEN(A11)</f>
        <v>21</v>
      </c>
      <c r="H11" s="63" t="str">
        <f t="shared" ref="H11:H31" si="4">+LEFT(A11)</f>
        <v>V</v>
      </c>
      <c r="I11" s="63" t="str">
        <f t="shared" ref="I11:I31" si="5">+RIGHT(B11)</f>
        <v>G</v>
      </c>
      <c r="J11" s="63">
        <f t="shared" ref="J11:J31" si="6">+SEARCH(" ",A11)</f>
        <v>9</v>
      </c>
      <c r="K11" s="182" t="str">
        <f t="shared" ref="K11:K31" si="7">+LOWER(CONCATENATE(LEFT(A11,SEARCH(" ",A11)-1),C11,"_",LEFT(B11,3),"@CONSART.COM"))</f>
        <v>verónica1_001@consart.com</v>
      </c>
      <c r="L11" s="182" t="str">
        <f t="shared" ref="L11:L31" si="8">+CONCATENATE("Mi nombre es ",LEFT(A11,SEARCH(" ",A11)-1), " y naci en el año ",MID(B11,8,2))</f>
        <v>Mi nombre es VERÓNICA y naci en el año 71</v>
      </c>
      <c r="M11" s="63" t="str">
        <f t="shared" ref="M11:M31" si="9">+CONCATENATE(LEFT(B11,3),"-",MID(B11,4,6),"-",RIGHT(B11,5))</f>
        <v>001-101271-0069G</v>
      </c>
    </row>
    <row r="12" spans="1:13">
      <c r="A12" s="64" t="s">
        <v>765</v>
      </c>
      <c r="B12" s="64" t="s">
        <v>489</v>
      </c>
      <c r="C12" s="82">
        <v>2</v>
      </c>
      <c r="D12" s="182" t="str">
        <f t="shared" si="0"/>
        <v>MARIO DANIEL PALACIO RUIZ</v>
      </c>
      <c r="E12" s="182" t="str">
        <f t="shared" si="1"/>
        <v>Mario Daniel Palacio Ruiz</v>
      </c>
      <c r="F12" s="63" t="str">
        <f t="shared" si="2"/>
        <v>3001</v>
      </c>
      <c r="G12" s="63">
        <f t="shared" si="3"/>
        <v>25</v>
      </c>
      <c r="H12" s="63" t="str">
        <f t="shared" si="4"/>
        <v>M</v>
      </c>
      <c r="I12" s="63" t="str">
        <f t="shared" si="5"/>
        <v>R</v>
      </c>
      <c r="J12" s="63">
        <f t="shared" si="6"/>
        <v>6</v>
      </c>
      <c r="K12" s="182" t="str">
        <f t="shared" si="7"/>
        <v>mario2_005@consart.com</v>
      </c>
      <c r="L12" s="182" t="str">
        <f t="shared" si="8"/>
        <v>Mi nombre es MARIO y naci en el año 40</v>
      </c>
      <c r="M12" s="63" t="str">
        <f t="shared" si="9"/>
        <v>005-300140-0000R</v>
      </c>
    </row>
    <row r="13" spans="1:13" ht="12.75" customHeight="1">
      <c r="A13" s="64" t="s">
        <v>766</v>
      </c>
      <c r="B13" s="64" t="s">
        <v>491</v>
      </c>
      <c r="C13" s="82">
        <v>2</v>
      </c>
      <c r="D13" s="182" t="str">
        <f t="shared" si="0"/>
        <v>MARICELA AUXILIADORA PEÑA  DÍAZ</v>
      </c>
      <c r="E13" s="182" t="str">
        <f t="shared" si="1"/>
        <v>Maricela Auxiliadora Peña  Díaz</v>
      </c>
      <c r="F13" s="63" t="str">
        <f t="shared" si="2"/>
        <v>0512</v>
      </c>
      <c r="G13" s="63">
        <f t="shared" si="3"/>
        <v>31</v>
      </c>
      <c r="H13" s="63" t="str">
        <f t="shared" si="4"/>
        <v>M</v>
      </c>
      <c r="I13" s="63" t="str">
        <f t="shared" si="5"/>
        <v>N</v>
      </c>
      <c r="J13" s="63">
        <f t="shared" si="6"/>
        <v>9</v>
      </c>
      <c r="K13" s="182" t="str">
        <f t="shared" si="7"/>
        <v>maricela2_001@consart.com</v>
      </c>
      <c r="L13" s="182" t="str">
        <f t="shared" si="8"/>
        <v>Mi nombre es MARICELA y naci en el año 77</v>
      </c>
      <c r="M13" s="63" t="str">
        <f t="shared" si="9"/>
        <v>001-051277-0069N</v>
      </c>
    </row>
    <row r="14" spans="1:13">
      <c r="A14" s="64" t="s">
        <v>767</v>
      </c>
      <c r="B14" s="64" t="s">
        <v>481</v>
      </c>
      <c r="C14" s="82">
        <v>2</v>
      </c>
      <c r="D14" s="182" t="str">
        <f t="shared" si="0"/>
        <v>MILDRED RÍOS PALACIOS</v>
      </c>
      <c r="E14" s="182" t="str">
        <f t="shared" si="1"/>
        <v>Mildred Ríos Palacios</v>
      </c>
      <c r="F14" s="63" t="str">
        <f t="shared" si="2"/>
        <v>2008</v>
      </c>
      <c r="G14" s="63">
        <f t="shared" si="3"/>
        <v>21</v>
      </c>
      <c r="H14" s="63" t="str">
        <f t="shared" si="4"/>
        <v>M</v>
      </c>
      <c r="I14" s="63" t="str">
        <f t="shared" si="5"/>
        <v>P</v>
      </c>
      <c r="J14" s="63">
        <f t="shared" si="6"/>
        <v>8</v>
      </c>
      <c r="K14" s="182" t="str">
        <f t="shared" si="7"/>
        <v>mildred2_044@consart.com</v>
      </c>
      <c r="L14" s="182" t="str">
        <f t="shared" si="8"/>
        <v>Mi nombre es MILDRED y naci en el año 27</v>
      </c>
      <c r="M14" s="63" t="str">
        <f t="shared" si="9"/>
        <v>044-200827-0000P</v>
      </c>
    </row>
    <row r="15" spans="1:13">
      <c r="A15" s="64" t="s">
        <v>768</v>
      </c>
      <c r="B15" s="64" t="s">
        <v>469</v>
      </c>
      <c r="C15" s="82">
        <v>3</v>
      </c>
      <c r="D15" s="182" t="str">
        <f t="shared" si="0"/>
        <v>JULIO CESAR ZAVALA PÉREZ</v>
      </c>
      <c r="E15" s="182" t="str">
        <f t="shared" si="1"/>
        <v>Julio Cesar Zavala Pérez</v>
      </c>
      <c r="F15" s="63" t="str">
        <f t="shared" si="2"/>
        <v>1610</v>
      </c>
      <c r="G15" s="63">
        <f t="shared" si="3"/>
        <v>24</v>
      </c>
      <c r="H15" s="63" t="str">
        <f t="shared" si="4"/>
        <v>J</v>
      </c>
      <c r="I15" s="63" t="str">
        <f t="shared" si="5"/>
        <v>E</v>
      </c>
      <c r="J15" s="63">
        <f t="shared" si="6"/>
        <v>6</v>
      </c>
      <c r="K15" s="182" t="str">
        <f t="shared" si="7"/>
        <v>julio3_001@consart.com</v>
      </c>
      <c r="L15" s="182" t="str">
        <f t="shared" si="8"/>
        <v>Mi nombre es JULIO y naci en el año 76</v>
      </c>
      <c r="M15" s="63" t="str">
        <f t="shared" si="9"/>
        <v>001-161076-0069E</v>
      </c>
    </row>
    <row r="16" spans="1:13">
      <c r="A16" s="64" t="s">
        <v>769</v>
      </c>
      <c r="B16" s="64" t="s">
        <v>495</v>
      </c>
      <c r="C16" s="82">
        <v>4</v>
      </c>
      <c r="D16" s="182" t="str">
        <f t="shared" si="0"/>
        <v>JUANA ACUÑA LÓPEZ</v>
      </c>
      <c r="E16" s="182" t="str">
        <f t="shared" si="1"/>
        <v>Juana Acuña López</v>
      </c>
      <c r="F16" s="63" t="str">
        <f t="shared" si="2"/>
        <v>1511</v>
      </c>
      <c r="G16" s="63">
        <f t="shared" si="3"/>
        <v>17</v>
      </c>
      <c r="H16" s="63" t="str">
        <f t="shared" si="4"/>
        <v>J</v>
      </c>
      <c r="I16" s="63" t="str">
        <f t="shared" si="5"/>
        <v>U</v>
      </c>
      <c r="J16" s="63">
        <f t="shared" si="6"/>
        <v>6</v>
      </c>
      <c r="K16" s="182" t="str">
        <f t="shared" si="7"/>
        <v>juana4_162@consart.com</v>
      </c>
      <c r="L16" s="182" t="str">
        <f t="shared" si="8"/>
        <v>Mi nombre es JUANA y naci en el año 79</v>
      </c>
      <c r="M16" s="63" t="str">
        <f t="shared" si="9"/>
        <v>162-151179-0002U</v>
      </c>
    </row>
    <row r="17" spans="1:13">
      <c r="A17" s="64" t="s">
        <v>770</v>
      </c>
      <c r="B17" s="64" t="s">
        <v>479</v>
      </c>
      <c r="C17" s="82">
        <v>1</v>
      </c>
      <c r="D17" s="182" t="str">
        <f t="shared" si="0"/>
        <v>MARITZA DEL CARMEN MORALES HERRERA</v>
      </c>
      <c r="E17" s="182" t="str">
        <f t="shared" si="1"/>
        <v>Maritza Del Carmen Morales Herrera</v>
      </c>
      <c r="F17" s="63" t="str">
        <f t="shared" si="2"/>
        <v>2812</v>
      </c>
      <c r="G17" s="63">
        <f t="shared" si="3"/>
        <v>34</v>
      </c>
      <c r="H17" s="63" t="str">
        <f t="shared" si="4"/>
        <v>M</v>
      </c>
      <c r="I17" s="63" t="str">
        <f t="shared" si="5"/>
        <v>W</v>
      </c>
      <c r="J17" s="63">
        <f t="shared" si="6"/>
        <v>8</v>
      </c>
      <c r="K17" s="182" t="str">
        <f t="shared" si="7"/>
        <v>maritza1_001@consart.com</v>
      </c>
      <c r="L17" s="182" t="str">
        <f t="shared" si="8"/>
        <v>Mi nombre es MARITZA y naci en el año 67</v>
      </c>
      <c r="M17" s="63" t="str">
        <f t="shared" si="9"/>
        <v>001-281267-0027W</v>
      </c>
    </row>
    <row r="18" spans="1:13">
      <c r="A18" s="64" t="s">
        <v>771</v>
      </c>
      <c r="B18" s="64" t="s">
        <v>466</v>
      </c>
      <c r="C18" s="82">
        <v>1</v>
      </c>
      <c r="D18" s="182" t="str">
        <f t="shared" si="0"/>
        <v>EDDY EFRAÍN  SALAZAR</v>
      </c>
      <c r="E18" s="182" t="str">
        <f t="shared" si="1"/>
        <v>Eddy Efraín  Salazar</v>
      </c>
      <c r="F18" s="63" t="str">
        <f t="shared" si="2"/>
        <v>2604</v>
      </c>
      <c r="G18" s="63">
        <f t="shared" si="3"/>
        <v>20</v>
      </c>
      <c r="H18" s="63" t="str">
        <f t="shared" si="4"/>
        <v>E</v>
      </c>
      <c r="I18" s="63" t="str">
        <f t="shared" si="5"/>
        <v>A</v>
      </c>
      <c r="J18" s="63">
        <f t="shared" si="6"/>
        <v>5</v>
      </c>
      <c r="K18" s="182" t="str">
        <f t="shared" si="7"/>
        <v>eddy1_001@consart.com</v>
      </c>
      <c r="L18" s="182" t="str">
        <f t="shared" si="8"/>
        <v>Mi nombre es EDDY y naci en el año 53</v>
      </c>
      <c r="M18" s="63" t="str">
        <f t="shared" si="9"/>
        <v>001-260453-0012A</v>
      </c>
    </row>
    <row r="19" spans="1:13">
      <c r="A19" s="64" t="s">
        <v>772</v>
      </c>
      <c r="B19" s="64" t="s">
        <v>471</v>
      </c>
      <c r="C19" s="82">
        <v>3</v>
      </c>
      <c r="D19" s="182" t="str">
        <f t="shared" si="0"/>
        <v>KEVIN DANILO REYES</v>
      </c>
      <c r="E19" s="182" t="str">
        <f t="shared" si="1"/>
        <v>Kevin Danilo Reyes</v>
      </c>
      <c r="F19" s="63" t="str">
        <f t="shared" si="2"/>
        <v>1206</v>
      </c>
      <c r="G19" s="63">
        <f t="shared" si="3"/>
        <v>18</v>
      </c>
      <c r="H19" s="63" t="str">
        <f t="shared" si="4"/>
        <v>K</v>
      </c>
      <c r="I19" s="63" t="str">
        <f t="shared" si="5"/>
        <v>S</v>
      </c>
      <c r="J19" s="63">
        <f t="shared" si="6"/>
        <v>6</v>
      </c>
      <c r="K19" s="182" t="str">
        <f t="shared" si="7"/>
        <v>kevin3_001@consart.com</v>
      </c>
      <c r="L19" s="182" t="str">
        <f t="shared" si="8"/>
        <v>Mi nombre es KEVIN y naci en el año 61</v>
      </c>
      <c r="M19" s="63" t="str">
        <f t="shared" si="9"/>
        <v>001-120661-0061S</v>
      </c>
    </row>
    <row r="20" spans="1:13">
      <c r="A20" s="64" t="s">
        <v>773</v>
      </c>
      <c r="B20" s="64" t="s">
        <v>493</v>
      </c>
      <c r="C20" s="82">
        <v>4</v>
      </c>
      <c r="D20" s="182" t="str">
        <f t="shared" si="0"/>
        <v>EVELING DEL ROSARIO PANIAGUA ROMERO</v>
      </c>
      <c r="E20" s="182" t="str">
        <f t="shared" si="1"/>
        <v>Eveling Del Rosario Paniagua Romero</v>
      </c>
      <c r="F20" s="63" t="str">
        <f t="shared" si="2"/>
        <v>0903</v>
      </c>
      <c r="G20" s="63">
        <f t="shared" si="3"/>
        <v>35</v>
      </c>
      <c r="H20" s="63" t="str">
        <f t="shared" si="4"/>
        <v>E</v>
      </c>
      <c r="I20" s="63" t="str">
        <f t="shared" si="5"/>
        <v>L</v>
      </c>
      <c r="J20" s="63">
        <f t="shared" si="6"/>
        <v>8</v>
      </c>
      <c r="K20" s="182" t="str">
        <f t="shared" si="7"/>
        <v>eveling4_041@consart.com</v>
      </c>
      <c r="L20" s="182" t="str">
        <f t="shared" si="8"/>
        <v>Mi nombre es EVELING y naci en el año 54</v>
      </c>
      <c r="M20" s="63" t="str">
        <f t="shared" si="9"/>
        <v>041-090354-0002L</v>
      </c>
    </row>
    <row r="21" spans="1:13">
      <c r="A21" s="64" t="s">
        <v>774</v>
      </c>
      <c r="B21" s="64" t="s">
        <v>485</v>
      </c>
      <c r="C21" s="82">
        <v>2</v>
      </c>
      <c r="D21" s="182" t="str">
        <f t="shared" si="0"/>
        <v>CÁNDIDO IGNACIO DÍAZ GÓMEZ</v>
      </c>
      <c r="E21" s="182" t="str">
        <f t="shared" si="1"/>
        <v>Cándido Ignacio Díaz Gómez</v>
      </c>
      <c r="F21" s="63" t="str">
        <f t="shared" si="2"/>
        <v>0204</v>
      </c>
      <c r="G21" s="63">
        <f t="shared" si="3"/>
        <v>26</v>
      </c>
      <c r="H21" s="63" t="str">
        <f t="shared" si="4"/>
        <v>C</v>
      </c>
      <c r="I21" s="63" t="str">
        <f t="shared" si="5"/>
        <v>F</v>
      </c>
      <c r="J21" s="63">
        <f t="shared" si="6"/>
        <v>8</v>
      </c>
      <c r="K21" s="182" t="str">
        <f t="shared" si="7"/>
        <v>cándido2_001@consart.com</v>
      </c>
      <c r="L21" s="182" t="str">
        <f t="shared" si="8"/>
        <v>Mi nombre es CÁNDIDO y naci en el año 80</v>
      </c>
      <c r="M21" s="63" t="str">
        <f t="shared" si="9"/>
        <v>001-020480-0016F</v>
      </c>
    </row>
    <row r="22" spans="1:13">
      <c r="A22" s="64" t="s">
        <v>775</v>
      </c>
      <c r="B22" s="64" t="s">
        <v>477</v>
      </c>
      <c r="C22" s="82">
        <v>1</v>
      </c>
      <c r="D22" s="182" t="str">
        <f t="shared" si="0"/>
        <v>AURORA ARGENTINA MARTINEZ MENDEZ</v>
      </c>
      <c r="E22" s="182" t="str">
        <f t="shared" si="1"/>
        <v>Aurora Argentina Martinez Mendez</v>
      </c>
      <c r="F22" s="63" t="str">
        <f t="shared" si="2"/>
        <v>2111</v>
      </c>
      <c r="G22" s="63">
        <f t="shared" si="3"/>
        <v>32</v>
      </c>
      <c r="H22" s="63" t="str">
        <f t="shared" si="4"/>
        <v>A</v>
      </c>
      <c r="I22" s="63" t="str">
        <f t="shared" si="5"/>
        <v>A</v>
      </c>
      <c r="J22" s="63">
        <f t="shared" si="6"/>
        <v>7</v>
      </c>
      <c r="K22" s="182" t="str">
        <f t="shared" si="7"/>
        <v>aurora1_093@consart.com</v>
      </c>
      <c r="L22" s="182" t="str">
        <f t="shared" si="8"/>
        <v>Mi nombre es AURORA y naci en el año 57</v>
      </c>
      <c r="M22" s="63" t="str">
        <f t="shared" si="9"/>
        <v>093-211157-0000A</v>
      </c>
    </row>
    <row r="23" spans="1:13">
      <c r="A23" s="64" t="s">
        <v>776</v>
      </c>
      <c r="B23" s="64" t="s">
        <v>454</v>
      </c>
      <c r="C23" s="82">
        <v>2</v>
      </c>
      <c r="D23" s="182" t="str">
        <f t="shared" si="0"/>
        <v>LEONOR PÉREZ LÓPEZ</v>
      </c>
      <c r="E23" s="182" t="str">
        <f t="shared" si="1"/>
        <v>Leonor Pérez López</v>
      </c>
      <c r="F23" s="63" t="str">
        <f t="shared" si="2"/>
        <v>2706</v>
      </c>
      <c r="G23" s="63">
        <f t="shared" si="3"/>
        <v>18</v>
      </c>
      <c r="H23" s="63" t="str">
        <f t="shared" si="4"/>
        <v>L</v>
      </c>
      <c r="I23" s="63" t="str">
        <f t="shared" si="5"/>
        <v>A</v>
      </c>
      <c r="J23" s="63">
        <f t="shared" si="6"/>
        <v>7</v>
      </c>
      <c r="K23" s="182" t="str">
        <f t="shared" si="7"/>
        <v>leonor2_001@consart.com</v>
      </c>
      <c r="L23" s="182" t="str">
        <f t="shared" si="8"/>
        <v>Mi nombre es LEONOR y naci en el año 75</v>
      </c>
      <c r="M23" s="63" t="str">
        <f t="shared" si="9"/>
        <v>001-270675-0016A</v>
      </c>
    </row>
    <row r="24" spans="1:13">
      <c r="A24" s="64" t="s">
        <v>777</v>
      </c>
      <c r="B24" s="64" t="s">
        <v>457</v>
      </c>
      <c r="C24" s="82">
        <v>3</v>
      </c>
      <c r="D24" s="182" t="str">
        <f t="shared" si="0"/>
        <v>MICHEL CAROLINA  GÓMEZ</v>
      </c>
      <c r="E24" s="182" t="str">
        <f t="shared" si="1"/>
        <v>Michel Carolina  Gómez</v>
      </c>
      <c r="F24" s="63" t="str">
        <f t="shared" si="2"/>
        <v>1110</v>
      </c>
      <c r="G24" s="63">
        <f t="shared" si="3"/>
        <v>22</v>
      </c>
      <c r="H24" s="63" t="str">
        <f t="shared" si="4"/>
        <v>M</v>
      </c>
      <c r="I24" s="63" t="str">
        <f t="shared" si="5"/>
        <v>N</v>
      </c>
      <c r="J24" s="63">
        <f t="shared" si="6"/>
        <v>7</v>
      </c>
      <c r="K24" s="182" t="str">
        <f t="shared" si="7"/>
        <v>michel3_401@consart.com</v>
      </c>
      <c r="L24" s="182" t="str">
        <f t="shared" si="8"/>
        <v>Mi nombre es MICHEL y naci en el año 37</v>
      </c>
      <c r="M24" s="63" t="str">
        <f t="shared" si="9"/>
        <v>401-111037-0001N</v>
      </c>
    </row>
    <row r="25" spans="1:13">
      <c r="A25" s="64" t="s">
        <v>778</v>
      </c>
      <c r="B25" s="64" t="s">
        <v>487</v>
      </c>
      <c r="C25" s="82">
        <v>2</v>
      </c>
      <c r="D25" s="182" t="str">
        <f t="shared" si="0"/>
        <v>LESLIE ELIEZER HERNÁNDEZ</v>
      </c>
      <c r="E25" s="182" t="str">
        <f t="shared" si="1"/>
        <v>Leslie Eliezer Hernández</v>
      </c>
      <c r="F25" s="63" t="str">
        <f t="shared" si="2"/>
        <v>1903</v>
      </c>
      <c r="G25" s="63">
        <f t="shared" si="3"/>
        <v>24</v>
      </c>
      <c r="H25" s="63" t="str">
        <f t="shared" si="4"/>
        <v>L</v>
      </c>
      <c r="I25" s="63" t="str">
        <f t="shared" si="5"/>
        <v>D</v>
      </c>
      <c r="J25" s="63">
        <f t="shared" si="6"/>
        <v>7</v>
      </c>
      <c r="K25" s="182" t="str">
        <f t="shared" si="7"/>
        <v>leslie2_445@consart.com</v>
      </c>
      <c r="L25" s="182" t="str">
        <f t="shared" si="8"/>
        <v>Mi nombre es LESLIE y naci en el año 50</v>
      </c>
      <c r="M25" s="63" t="str">
        <f t="shared" si="9"/>
        <v>445-190350-0000D</v>
      </c>
    </row>
    <row r="26" spans="1:13">
      <c r="A26" s="64" t="s">
        <v>779</v>
      </c>
      <c r="B26" s="64" t="s">
        <v>475</v>
      </c>
      <c r="C26" s="82">
        <v>3</v>
      </c>
      <c r="D26" s="182" t="str">
        <f t="shared" si="0"/>
        <v>MILTON JAVIER GUERRERO SÁNCHEZ</v>
      </c>
      <c r="E26" s="182" t="str">
        <f t="shared" si="1"/>
        <v>Milton Javier Guerrero Sánchez</v>
      </c>
      <c r="F26" s="63" t="str">
        <f t="shared" si="2"/>
        <v>0508</v>
      </c>
      <c r="G26" s="63">
        <f t="shared" si="3"/>
        <v>30</v>
      </c>
      <c r="H26" s="63" t="str">
        <f t="shared" si="4"/>
        <v>M</v>
      </c>
      <c r="I26" s="63" t="str">
        <f t="shared" si="5"/>
        <v>V</v>
      </c>
      <c r="J26" s="63">
        <f t="shared" si="6"/>
        <v>7</v>
      </c>
      <c r="K26" s="182" t="str">
        <f t="shared" si="7"/>
        <v>milton3_001@consart.com</v>
      </c>
      <c r="L26" s="182" t="str">
        <f t="shared" si="8"/>
        <v>Mi nombre es MILTON y naci en el año 79</v>
      </c>
      <c r="M26" s="63" t="str">
        <f t="shared" si="9"/>
        <v>001-050879-0064V</v>
      </c>
    </row>
    <row r="27" spans="1:13">
      <c r="A27" s="64" t="s">
        <v>780</v>
      </c>
      <c r="B27" s="64" t="s">
        <v>450</v>
      </c>
      <c r="C27" s="82">
        <v>1</v>
      </c>
      <c r="D27" s="182" t="str">
        <f t="shared" si="0"/>
        <v>JOEL ALBERTO PONCE</v>
      </c>
      <c r="E27" s="182" t="str">
        <f t="shared" si="1"/>
        <v>Joel Alberto Ponce</v>
      </c>
      <c r="F27" s="63" t="str">
        <f t="shared" si="2"/>
        <v>0304</v>
      </c>
      <c r="G27" s="63">
        <f t="shared" si="3"/>
        <v>18</v>
      </c>
      <c r="H27" s="63" t="str">
        <f t="shared" si="4"/>
        <v>J</v>
      </c>
      <c r="I27" s="63" t="str">
        <f t="shared" si="5"/>
        <v>Q</v>
      </c>
      <c r="J27" s="63">
        <f t="shared" si="6"/>
        <v>5</v>
      </c>
      <c r="K27" s="182" t="str">
        <f t="shared" si="7"/>
        <v>joel1_001@consart.com</v>
      </c>
      <c r="L27" s="182" t="str">
        <f t="shared" si="8"/>
        <v>Mi nombre es JOEL y naci en el año 72</v>
      </c>
      <c r="M27" s="63" t="str">
        <f t="shared" si="9"/>
        <v>001-030472-0075Q</v>
      </c>
    </row>
    <row r="28" spans="1:13">
      <c r="A28" s="64" t="s">
        <v>781</v>
      </c>
      <c r="B28" s="64" t="s">
        <v>460</v>
      </c>
      <c r="C28" s="82">
        <v>5</v>
      </c>
      <c r="D28" s="182" t="str">
        <f t="shared" si="0"/>
        <v>JULIO ALBERTO GARCÍA</v>
      </c>
      <c r="E28" s="182" t="str">
        <f t="shared" si="1"/>
        <v>Julio Alberto García</v>
      </c>
      <c r="F28" s="63" t="str">
        <f t="shared" si="2"/>
        <v>0804</v>
      </c>
      <c r="G28" s="63">
        <f t="shared" si="3"/>
        <v>20</v>
      </c>
      <c r="H28" s="63" t="str">
        <f t="shared" si="4"/>
        <v>J</v>
      </c>
      <c r="I28" s="63" t="str">
        <f t="shared" si="5"/>
        <v>D</v>
      </c>
      <c r="J28" s="63">
        <f t="shared" si="6"/>
        <v>6</v>
      </c>
      <c r="K28" s="182" t="str">
        <f t="shared" si="7"/>
        <v>julio5_001@consart.com</v>
      </c>
      <c r="L28" s="182" t="str">
        <f t="shared" si="8"/>
        <v>Mi nombre es JULIO y naci en el año 48</v>
      </c>
      <c r="M28" s="63" t="str">
        <f t="shared" si="9"/>
        <v>001-080448-0026D</v>
      </c>
    </row>
    <row r="29" spans="1:13">
      <c r="A29" s="64" t="s">
        <v>782</v>
      </c>
      <c r="B29" s="64" t="s">
        <v>463</v>
      </c>
      <c r="C29" s="82">
        <v>3</v>
      </c>
      <c r="D29" s="182" t="str">
        <f t="shared" si="0"/>
        <v>LUIS HUMBERTO JEREZ GARCÍA</v>
      </c>
      <c r="E29" s="182" t="str">
        <f t="shared" si="1"/>
        <v>Luis Humberto Jerez García</v>
      </c>
      <c r="F29" s="63" t="str">
        <f t="shared" si="2"/>
        <v>2012</v>
      </c>
      <c r="G29" s="63">
        <f t="shared" si="3"/>
        <v>26</v>
      </c>
      <c r="H29" s="63" t="str">
        <f t="shared" si="4"/>
        <v>L</v>
      </c>
      <c r="I29" s="63" t="str">
        <f t="shared" si="5"/>
        <v>P</v>
      </c>
      <c r="J29" s="63">
        <f t="shared" si="6"/>
        <v>5</v>
      </c>
      <c r="K29" s="182" t="str">
        <f t="shared" si="7"/>
        <v>luis3_042@consart.com</v>
      </c>
      <c r="L29" s="182" t="str">
        <f t="shared" si="8"/>
        <v>Mi nombre es LUIS y naci en el año 53</v>
      </c>
      <c r="M29" s="63" t="str">
        <f t="shared" si="9"/>
        <v>042-201253-0000P</v>
      </c>
    </row>
    <row r="30" spans="1:13">
      <c r="A30" s="64" t="s">
        <v>783</v>
      </c>
      <c r="B30" s="64" t="s">
        <v>446</v>
      </c>
      <c r="C30" s="82">
        <v>1</v>
      </c>
      <c r="D30" s="182" t="str">
        <f t="shared" si="0"/>
        <v>SANDRA GARCÍA ALMENDARES</v>
      </c>
      <c r="E30" s="182" t="str">
        <f t="shared" si="1"/>
        <v>Sandra García Almendares</v>
      </c>
      <c r="F30" s="63" t="str">
        <f t="shared" si="2"/>
        <v>2701</v>
      </c>
      <c r="G30" s="63">
        <f t="shared" si="3"/>
        <v>24</v>
      </c>
      <c r="H30" s="63" t="str">
        <f t="shared" si="4"/>
        <v>S</v>
      </c>
      <c r="I30" s="63" t="str">
        <f t="shared" si="5"/>
        <v>L</v>
      </c>
      <c r="J30" s="63">
        <f t="shared" si="6"/>
        <v>7</v>
      </c>
      <c r="K30" s="182" t="str">
        <f t="shared" si="7"/>
        <v>sandra1_001@consart.com</v>
      </c>
      <c r="L30" s="182" t="str">
        <f t="shared" si="8"/>
        <v>Mi nombre es SANDRA y naci en el año 61</v>
      </c>
      <c r="M30" s="63" t="str">
        <f t="shared" si="9"/>
        <v>001-270161-0032L</v>
      </c>
    </row>
    <row r="31" spans="1:13">
      <c r="A31" s="64" t="s">
        <v>784</v>
      </c>
      <c r="B31" s="64" t="s">
        <v>497</v>
      </c>
      <c r="C31" s="82">
        <v>4</v>
      </c>
      <c r="D31" s="182" t="str">
        <f t="shared" si="0"/>
        <v>MIUREL ANELKY MARTÍNEZ</v>
      </c>
      <c r="E31" s="182" t="str">
        <f t="shared" si="1"/>
        <v>Miurel Anelky Martínez</v>
      </c>
      <c r="F31" s="63" t="str">
        <f t="shared" si="2"/>
        <v>2609</v>
      </c>
      <c r="G31" s="63">
        <f t="shared" si="3"/>
        <v>22</v>
      </c>
      <c r="H31" s="63" t="str">
        <f t="shared" si="4"/>
        <v>M</v>
      </c>
      <c r="I31" s="63" t="str">
        <f t="shared" si="5"/>
        <v>S</v>
      </c>
      <c r="J31" s="63">
        <f t="shared" si="6"/>
        <v>7</v>
      </c>
      <c r="K31" s="182" t="str">
        <f t="shared" si="7"/>
        <v>miurel4_001@consart.com</v>
      </c>
      <c r="L31" s="182" t="str">
        <f t="shared" si="8"/>
        <v>Mi nombre es MIUREL y naci en el año 79</v>
      </c>
      <c r="M31" s="63" t="str">
        <f t="shared" si="9"/>
        <v>001-260979-0082S</v>
      </c>
    </row>
    <row r="32" spans="1:13">
      <c r="L32" s="182"/>
      <c r="M32" s="58" t="s">
        <v>513</v>
      </c>
    </row>
  </sheetData>
  <mergeCells count="3">
    <mergeCell ref="B4:E5"/>
    <mergeCell ref="L4:L8"/>
    <mergeCell ref="M4:M8"/>
  </mergeCells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1">
    <tabColor rgb="FF0070C0"/>
  </sheetPr>
  <dimension ref="A1:J31"/>
  <sheetViews>
    <sheetView showGridLines="0" topLeftCell="A2" workbookViewId="0">
      <selection activeCell="H6" sqref="H6"/>
    </sheetView>
  </sheetViews>
  <sheetFormatPr baseColWidth="10" defaultColWidth="11.44140625" defaultRowHeight="13.2"/>
  <cols>
    <col min="1" max="1" width="32.88671875" style="58" bestFit="1" customWidth="1"/>
    <col min="2" max="2" width="32.88671875" style="58" customWidth="1"/>
    <col min="3" max="3" width="15.88671875" style="58" bestFit="1" customWidth="1"/>
    <col min="4" max="8" width="16.5546875" style="58" customWidth="1"/>
    <col min="9" max="9" width="12.88671875" style="58" customWidth="1"/>
    <col min="10" max="10" width="14" style="58" bestFit="1" customWidth="1"/>
    <col min="11" max="16384" width="11.44140625" style="58"/>
  </cols>
  <sheetData>
    <row r="1" spans="1:10" ht="15.6">
      <c r="A1" s="78" t="s">
        <v>431</v>
      </c>
      <c r="B1" s="187"/>
      <c r="C1" s="187"/>
      <c r="D1" s="58" t="s">
        <v>432</v>
      </c>
    </row>
    <row r="2" spans="1:10" ht="15.6">
      <c r="A2" s="78" t="s">
        <v>433</v>
      </c>
      <c r="B2" s="187"/>
      <c r="C2" s="187"/>
      <c r="D2" s="58" t="s">
        <v>434</v>
      </c>
    </row>
    <row r="3" spans="1:10" ht="15.6">
      <c r="A3" s="78" t="s">
        <v>435</v>
      </c>
      <c r="B3" s="187"/>
      <c r="C3" s="187"/>
      <c r="D3" s="58" t="s">
        <v>436</v>
      </c>
    </row>
    <row r="4" spans="1:10" ht="16.2" thickBot="1">
      <c r="A4" s="79" t="s">
        <v>437</v>
      </c>
      <c r="B4" s="187"/>
      <c r="C4" s="187"/>
      <c r="D4" s="229" t="s">
        <v>438</v>
      </c>
      <c r="E4" s="229"/>
      <c r="F4" s="229"/>
      <c r="G4" s="229"/>
      <c r="H4" s="229"/>
      <c r="I4" s="229"/>
    </row>
    <row r="5" spans="1:10">
      <c r="D5" s="229"/>
      <c r="E5" s="229"/>
      <c r="F5" s="229"/>
      <c r="G5" s="229"/>
      <c r="H5" s="229"/>
      <c r="I5" s="229"/>
    </row>
    <row r="7" spans="1:10" ht="15.6">
      <c r="A7" s="80" t="s">
        <v>439</v>
      </c>
      <c r="B7" s="80"/>
      <c r="C7" s="80"/>
    </row>
    <row r="9" spans="1:10" ht="27" customHeight="1">
      <c r="A9" s="81" t="s">
        <v>440</v>
      </c>
      <c r="B9" s="81" t="s">
        <v>791</v>
      </c>
      <c r="C9" s="81" t="s">
        <v>441</v>
      </c>
      <c r="D9" s="81" t="s">
        <v>441</v>
      </c>
      <c r="E9" s="81" t="s">
        <v>136</v>
      </c>
      <c r="F9" s="81" t="s">
        <v>790</v>
      </c>
      <c r="G9" s="81" t="s">
        <v>442</v>
      </c>
      <c r="H9" s="81" t="s">
        <v>442</v>
      </c>
      <c r="I9" s="81" t="s">
        <v>443</v>
      </c>
      <c r="J9" s="81" t="s">
        <v>444</v>
      </c>
    </row>
    <row r="10" spans="1:10">
      <c r="A10" s="64" t="s">
        <v>445</v>
      </c>
      <c r="B10" s="64" t="str">
        <f>+PROPER(A10)</f>
        <v>Sandra García Almendares</v>
      </c>
      <c r="C10" s="64" t="s">
        <v>446</v>
      </c>
      <c r="D10" s="64" t="str">
        <f>+CONCATENATE(LEFT(C10,3),"-",MID(C10,4,6),"-",RIGHT(C10,5))</f>
        <v>001-270161-0032L</v>
      </c>
      <c r="E10" s="64" t="s">
        <v>447</v>
      </c>
      <c r="F10" s="64" t="str">
        <f>+PROPER(E10)</f>
        <v>Construccion</v>
      </c>
      <c r="G10" s="64" t="s">
        <v>448</v>
      </c>
      <c r="H10" s="64" t="str">
        <f>+PROPER(G10)</f>
        <v>Ayudante</v>
      </c>
      <c r="I10" s="82">
        <v>1</v>
      </c>
      <c r="J10" s="63" t="str">
        <f>CONCATENATE(LEFT(E10,4),"-",MID(D10,7,4),RIGHT(D10,1),"-",LEFT(G10,1))</f>
        <v>CONS-0161L-A</v>
      </c>
    </row>
    <row r="11" spans="1:10">
      <c r="A11" s="64" t="s">
        <v>449</v>
      </c>
      <c r="B11" s="64" t="str">
        <f t="shared" ref="B11:B31" si="0">+PROPER(A11)</f>
        <v>Joel Alberto Ponce</v>
      </c>
      <c r="C11" s="64" t="s">
        <v>450</v>
      </c>
      <c r="D11" s="64" t="str">
        <f t="shared" ref="D11:D31" si="1">+CONCATENATE(LEFT(C11,3),"-",MID(C11,4,6),"-",RIGHT(C11,5))</f>
        <v>001-030472-0075Q</v>
      </c>
      <c r="E11" s="64" t="s">
        <v>451</v>
      </c>
      <c r="F11" s="64" t="str">
        <f t="shared" ref="F11:F31" si="2">+PROPER(E11)</f>
        <v>Fontaneria</v>
      </c>
      <c r="G11" s="64" t="s">
        <v>452</v>
      </c>
      <c r="H11" s="64" t="str">
        <f t="shared" ref="H11:H31" si="3">+PROPER(G11)</f>
        <v>Oficial</v>
      </c>
      <c r="I11" s="82">
        <v>1</v>
      </c>
      <c r="J11" s="63" t="str">
        <f t="shared" ref="J11:J31" si="4">CONCATENATE(LEFT(E11,4),"-",MID(D11,7,4),RIGHT(D11,1),"-",LEFT(G11,1))</f>
        <v>FONT-0472Q-O</v>
      </c>
    </row>
    <row r="12" spans="1:10">
      <c r="A12" s="64" t="s">
        <v>453</v>
      </c>
      <c r="B12" s="64" t="str">
        <f t="shared" si="0"/>
        <v>Leonor Pérez López</v>
      </c>
      <c r="C12" s="64" t="s">
        <v>454</v>
      </c>
      <c r="D12" s="64" t="str">
        <f t="shared" si="1"/>
        <v>001-270675-0016A</v>
      </c>
      <c r="E12" s="64" t="s">
        <v>455</v>
      </c>
      <c r="F12" s="64" t="str">
        <f t="shared" si="2"/>
        <v>Serv Varios</v>
      </c>
      <c r="G12" s="64" t="s">
        <v>448</v>
      </c>
      <c r="H12" s="64" t="str">
        <f t="shared" si="3"/>
        <v>Ayudante</v>
      </c>
      <c r="I12" s="82">
        <v>2</v>
      </c>
      <c r="J12" s="63" t="str">
        <f t="shared" si="4"/>
        <v>SERV-0675A-A</v>
      </c>
    </row>
    <row r="13" spans="1:10">
      <c r="A13" s="64" t="s">
        <v>456</v>
      </c>
      <c r="B13" s="64" t="str">
        <f t="shared" si="0"/>
        <v>Michel Carolina  Gómez</v>
      </c>
      <c r="C13" s="64" t="s">
        <v>457</v>
      </c>
      <c r="D13" s="64" t="str">
        <f t="shared" si="1"/>
        <v>401-111037-0001N</v>
      </c>
      <c r="E13" s="64" t="s">
        <v>458</v>
      </c>
      <c r="F13" s="64" t="str">
        <f t="shared" si="2"/>
        <v>Soldadura</v>
      </c>
      <c r="G13" s="64" t="s">
        <v>448</v>
      </c>
      <c r="H13" s="64" t="str">
        <f t="shared" si="3"/>
        <v>Ayudante</v>
      </c>
      <c r="I13" s="82">
        <v>3</v>
      </c>
      <c r="J13" s="63" t="str">
        <f t="shared" si="4"/>
        <v>SOLD-1037N-A</v>
      </c>
    </row>
    <row r="14" spans="1:10">
      <c r="A14" s="64" t="s">
        <v>459</v>
      </c>
      <c r="B14" s="64" t="str">
        <f t="shared" si="0"/>
        <v>Julio Alberto García</v>
      </c>
      <c r="C14" s="64" t="s">
        <v>460</v>
      </c>
      <c r="D14" s="64" t="str">
        <f t="shared" si="1"/>
        <v>001-080448-0026D</v>
      </c>
      <c r="E14" s="64" t="s">
        <v>461</v>
      </c>
      <c r="F14" s="64" t="str">
        <f t="shared" si="2"/>
        <v>Refrigeracion</v>
      </c>
      <c r="G14" s="64" t="s">
        <v>448</v>
      </c>
      <c r="H14" s="64" t="str">
        <f t="shared" si="3"/>
        <v>Ayudante</v>
      </c>
      <c r="I14" s="82">
        <v>5</v>
      </c>
      <c r="J14" s="63" t="str">
        <f t="shared" si="4"/>
        <v>REFR-0448D-A</v>
      </c>
    </row>
    <row r="15" spans="1:10">
      <c r="A15" s="64" t="s">
        <v>462</v>
      </c>
      <c r="B15" s="64" t="str">
        <f t="shared" si="0"/>
        <v>Luis Humberto Jerez García</v>
      </c>
      <c r="C15" s="64" t="s">
        <v>463</v>
      </c>
      <c r="D15" s="64" t="str">
        <f t="shared" si="1"/>
        <v>042-201253-0000P</v>
      </c>
      <c r="E15" s="64" t="s">
        <v>464</v>
      </c>
      <c r="F15" s="64" t="str">
        <f t="shared" si="2"/>
        <v>Albañileria</v>
      </c>
      <c r="G15" s="64" t="s">
        <v>448</v>
      </c>
      <c r="H15" s="64" t="str">
        <f t="shared" si="3"/>
        <v>Ayudante</v>
      </c>
      <c r="I15" s="82">
        <v>3</v>
      </c>
      <c r="J15" s="63" t="str">
        <f t="shared" si="4"/>
        <v>ALBA-1253P-A</v>
      </c>
    </row>
    <row r="16" spans="1:10">
      <c r="A16" s="64" t="s">
        <v>465</v>
      </c>
      <c r="B16" s="64" t="str">
        <f t="shared" si="0"/>
        <v>Eddy Efraín  Salazar</v>
      </c>
      <c r="C16" s="64" t="s">
        <v>466</v>
      </c>
      <c r="D16" s="64" t="str">
        <f t="shared" si="1"/>
        <v>001-260453-0012A</v>
      </c>
      <c r="E16" s="64" t="s">
        <v>467</v>
      </c>
      <c r="F16" s="64" t="str">
        <f t="shared" si="2"/>
        <v>Electricista</v>
      </c>
      <c r="G16" s="64" t="s">
        <v>452</v>
      </c>
      <c r="H16" s="64" t="str">
        <f t="shared" si="3"/>
        <v>Oficial</v>
      </c>
      <c r="I16" s="82">
        <v>1</v>
      </c>
      <c r="J16" s="63" t="str">
        <f t="shared" si="4"/>
        <v>ELEC-0453A-O</v>
      </c>
    </row>
    <row r="17" spans="1:10">
      <c r="A17" s="64" t="s">
        <v>468</v>
      </c>
      <c r="B17" s="64" t="str">
        <f t="shared" si="0"/>
        <v>Julio Cesar Zavala Pérez</v>
      </c>
      <c r="C17" s="64" t="s">
        <v>469</v>
      </c>
      <c r="D17" s="64" t="str">
        <f t="shared" si="1"/>
        <v>001-161076-0069E</v>
      </c>
      <c r="E17" s="64" t="s">
        <v>447</v>
      </c>
      <c r="F17" s="64" t="str">
        <f t="shared" si="2"/>
        <v>Construccion</v>
      </c>
      <c r="G17" s="64" t="s">
        <v>452</v>
      </c>
      <c r="H17" s="64" t="str">
        <f t="shared" si="3"/>
        <v>Oficial</v>
      </c>
      <c r="I17" s="82">
        <v>3</v>
      </c>
      <c r="J17" s="63" t="str">
        <f t="shared" si="4"/>
        <v>CONS-1076E-O</v>
      </c>
    </row>
    <row r="18" spans="1:10">
      <c r="A18" s="64" t="s">
        <v>470</v>
      </c>
      <c r="B18" s="64" t="str">
        <f t="shared" si="0"/>
        <v>Kevin Danilo Reyes</v>
      </c>
      <c r="C18" s="64" t="s">
        <v>471</v>
      </c>
      <c r="D18" s="64" t="str">
        <f t="shared" si="1"/>
        <v>001-120661-0061S</v>
      </c>
      <c r="E18" s="64" t="s">
        <v>451</v>
      </c>
      <c r="F18" s="64" t="str">
        <f t="shared" si="2"/>
        <v>Fontaneria</v>
      </c>
      <c r="G18" s="64" t="s">
        <v>448</v>
      </c>
      <c r="H18" s="64" t="str">
        <f t="shared" si="3"/>
        <v>Ayudante</v>
      </c>
      <c r="I18" s="82">
        <v>3</v>
      </c>
      <c r="J18" s="63" t="str">
        <f t="shared" si="4"/>
        <v>FONT-0661S-A</v>
      </c>
    </row>
    <row r="19" spans="1:10">
      <c r="A19" s="64" t="s">
        <v>472</v>
      </c>
      <c r="B19" s="64" t="str">
        <f t="shared" si="0"/>
        <v>Verónica María Méndez</v>
      </c>
      <c r="C19" s="64" t="s">
        <v>473</v>
      </c>
      <c r="D19" s="64" t="str">
        <f t="shared" si="1"/>
        <v>001-101271-0069G</v>
      </c>
      <c r="E19" s="64" t="s">
        <v>455</v>
      </c>
      <c r="F19" s="64" t="str">
        <f t="shared" si="2"/>
        <v>Serv Varios</v>
      </c>
      <c r="G19" s="64" t="s">
        <v>452</v>
      </c>
      <c r="H19" s="64" t="str">
        <f t="shared" si="3"/>
        <v>Oficial</v>
      </c>
      <c r="I19" s="82">
        <v>1</v>
      </c>
      <c r="J19" s="63" t="str">
        <f t="shared" si="4"/>
        <v>SERV-1271G-O</v>
      </c>
    </row>
    <row r="20" spans="1:10">
      <c r="A20" s="64" t="s">
        <v>474</v>
      </c>
      <c r="B20" s="64" t="str">
        <f t="shared" si="0"/>
        <v>Milton Javier Guerrero Sánchez</v>
      </c>
      <c r="C20" s="64" t="s">
        <v>475</v>
      </c>
      <c r="D20" s="64" t="str">
        <f t="shared" si="1"/>
        <v>001-050879-0064V</v>
      </c>
      <c r="E20" s="64" t="s">
        <v>458</v>
      </c>
      <c r="F20" s="64" t="str">
        <f t="shared" si="2"/>
        <v>Soldadura</v>
      </c>
      <c r="G20" s="64" t="s">
        <v>448</v>
      </c>
      <c r="H20" s="64" t="str">
        <f t="shared" si="3"/>
        <v>Ayudante</v>
      </c>
      <c r="I20" s="82">
        <v>3</v>
      </c>
      <c r="J20" s="63" t="str">
        <f t="shared" si="4"/>
        <v>SOLD-0879V-A</v>
      </c>
    </row>
    <row r="21" spans="1:10">
      <c r="A21" s="64" t="s">
        <v>476</v>
      </c>
      <c r="B21" s="64" t="str">
        <f t="shared" si="0"/>
        <v>Aurora Argentina Martinez Mendez</v>
      </c>
      <c r="C21" s="64" t="s">
        <v>477</v>
      </c>
      <c r="D21" s="64" t="str">
        <f t="shared" si="1"/>
        <v>093-211157-0000A</v>
      </c>
      <c r="E21" s="64" t="s">
        <v>461</v>
      </c>
      <c r="F21" s="64" t="str">
        <f t="shared" si="2"/>
        <v>Refrigeracion</v>
      </c>
      <c r="G21" s="64" t="s">
        <v>452</v>
      </c>
      <c r="H21" s="64" t="str">
        <f t="shared" si="3"/>
        <v>Oficial</v>
      </c>
      <c r="I21" s="82">
        <v>1</v>
      </c>
      <c r="J21" s="63" t="str">
        <f t="shared" si="4"/>
        <v>REFR-1157A-O</v>
      </c>
    </row>
    <row r="22" spans="1:10">
      <c r="A22" s="64" t="s">
        <v>478</v>
      </c>
      <c r="B22" s="64" t="str">
        <f t="shared" si="0"/>
        <v>Maritza Del Carmen Morales Herrera</v>
      </c>
      <c r="C22" s="64" t="s">
        <v>479</v>
      </c>
      <c r="D22" s="64" t="str">
        <f t="shared" si="1"/>
        <v>001-281267-0027W</v>
      </c>
      <c r="E22" s="64" t="s">
        <v>464</v>
      </c>
      <c r="F22" s="64" t="str">
        <f t="shared" si="2"/>
        <v>Albañileria</v>
      </c>
      <c r="G22" s="64" t="s">
        <v>452</v>
      </c>
      <c r="H22" s="64" t="str">
        <f t="shared" si="3"/>
        <v>Oficial</v>
      </c>
      <c r="I22" s="82">
        <v>1</v>
      </c>
      <c r="J22" s="63" t="str">
        <f t="shared" si="4"/>
        <v>ALBA-1267W-O</v>
      </c>
    </row>
    <row r="23" spans="1:10">
      <c r="A23" s="64" t="s">
        <v>480</v>
      </c>
      <c r="B23" s="64" t="str">
        <f t="shared" si="0"/>
        <v>Mildred Ríos Palacios</v>
      </c>
      <c r="C23" s="64" t="s">
        <v>481</v>
      </c>
      <c r="D23" s="64" t="str">
        <f t="shared" si="1"/>
        <v>044-200827-0000P</v>
      </c>
      <c r="E23" s="64" t="s">
        <v>467</v>
      </c>
      <c r="F23" s="64" t="str">
        <f t="shared" si="2"/>
        <v>Electricista</v>
      </c>
      <c r="G23" s="64" t="s">
        <v>452</v>
      </c>
      <c r="H23" s="64" t="str">
        <f t="shared" si="3"/>
        <v>Oficial</v>
      </c>
      <c r="I23" s="82">
        <v>2</v>
      </c>
      <c r="J23" s="63" t="str">
        <f t="shared" si="4"/>
        <v>ELEC-0827P-O</v>
      </c>
    </row>
    <row r="24" spans="1:10">
      <c r="A24" s="64" t="s">
        <v>482</v>
      </c>
      <c r="B24" s="64" t="str">
        <f t="shared" si="0"/>
        <v>Ricardo De Jesus Varela Hernandez</v>
      </c>
      <c r="C24" s="64" t="s">
        <v>483</v>
      </c>
      <c r="D24" s="64" t="str">
        <f t="shared" si="1"/>
        <v>001-180458-0050W</v>
      </c>
      <c r="E24" s="64" t="s">
        <v>447</v>
      </c>
      <c r="F24" s="64" t="str">
        <f t="shared" si="2"/>
        <v>Construccion</v>
      </c>
      <c r="G24" s="64" t="s">
        <v>448</v>
      </c>
      <c r="H24" s="64" t="str">
        <f t="shared" si="3"/>
        <v>Ayudante</v>
      </c>
      <c r="I24" s="82">
        <v>1</v>
      </c>
      <c r="J24" s="63" t="str">
        <f t="shared" si="4"/>
        <v>CONS-0458W-A</v>
      </c>
    </row>
    <row r="25" spans="1:10">
      <c r="A25" s="64" t="s">
        <v>484</v>
      </c>
      <c r="B25" s="64" t="str">
        <f t="shared" si="0"/>
        <v>Cándido Ignacio Díaz Gómez</v>
      </c>
      <c r="C25" s="64" t="s">
        <v>485</v>
      </c>
      <c r="D25" s="64" t="str">
        <f t="shared" si="1"/>
        <v>001-020480-0016F</v>
      </c>
      <c r="E25" s="64" t="s">
        <v>447</v>
      </c>
      <c r="F25" s="64" t="str">
        <f t="shared" si="2"/>
        <v>Construccion</v>
      </c>
      <c r="G25" s="64" t="s">
        <v>452</v>
      </c>
      <c r="H25" s="64" t="str">
        <f t="shared" si="3"/>
        <v>Oficial</v>
      </c>
      <c r="I25" s="82">
        <v>2</v>
      </c>
      <c r="J25" s="63" t="str">
        <f t="shared" si="4"/>
        <v>CONS-0480F-O</v>
      </c>
    </row>
    <row r="26" spans="1:10">
      <c r="A26" s="64" t="s">
        <v>486</v>
      </c>
      <c r="B26" s="64" t="str">
        <f t="shared" si="0"/>
        <v>Leslie Eliezer Hernández</v>
      </c>
      <c r="C26" s="64" t="s">
        <v>487</v>
      </c>
      <c r="D26" s="64" t="str">
        <f t="shared" si="1"/>
        <v>445-190350-0000D</v>
      </c>
      <c r="E26" s="64" t="s">
        <v>451</v>
      </c>
      <c r="F26" s="64" t="str">
        <f t="shared" si="2"/>
        <v>Fontaneria</v>
      </c>
      <c r="G26" s="64" t="s">
        <v>448</v>
      </c>
      <c r="H26" s="64" t="str">
        <f t="shared" si="3"/>
        <v>Ayudante</v>
      </c>
      <c r="I26" s="82">
        <v>2</v>
      </c>
      <c r="J26" s="63" t="str">
        <f t="shared" si="4"/>
        <v>FONT-0350D-A</v>
      </c>
    </row>
    <row r="27" spans="1:10">
      <c r="A27" s="64" t="s">
        <v>488</v>
      </c>
      <c r="B27" s="64" t="str">
        <f t="shared" si="0"/>
        <v>Mario Daniel Palacio Ruiz</v>
      </c>
      <c r="C27" s="64" t="s">
        <v>489</v>
      </c>
      <c r="D27" s="64" t="str">
        <f t="shared" si="1"/>
        <v>005-300140-0000R</v>
      </c>
      <c r="E27" s="64" t="s">
        <v>455</v>
      </c>
      <c r="F27" s="64" t="str">
        <f t="shared" si="2"/>
        <v>Serv Varios</v>
      </c>
      <c r="G27" s="64" t="s">
        <v>452</v>
      </c>
      <c r="H27" s="64" t="str">
        <f t="shared" si="3"/>
        <v>Oficial</v>
      </c>
      <c r="I27" s="82">
        <v>2</v>
      </c>
      <c r="J27" s="63" t="str">
        <f t="shared" si="4"/>
        <v>SERV-0140R-O</v>
      </c>
    </row>
    <row r="28" spans="1:10">
      <c r="A28" s="64" t="s">
        <v>490</v>
      </c>
      <c r="B28" s="64" t="str">
        <f t="shared" si="0"/>
        <v>Maricela Auxiliadora Peña  Díaz</v>
      </c>
      <c r="C28" s="64" t="s">
        <v>491</v>
      </c>
      <c r="D28" s="64" t="str">
        <f t="shared" si="1"/>
        <v>001-051277-0069N</v>
      </c>
      <c r="E28" s="64" t="s">
        <v>458</v>
      </c>
      <c r="F28" s="64" t="str">
        <f t="shared" si="2"/>
        <v>Soldadura</v>
      </c>
      <c r="G28" s="64" t="s">
        <v>448</v>
      </c>
      <c r="H28" s="64" t="str">
        <f t="shared" si="3"/>
        <v>Ayudante</v>
      </c>
      <c r="I28" s="82">
        <v>2</v>
      </c>
      <c r="J28" s="63" t="str">
        <f t="shared" si="4"/>
        <v>SOLD-1277N-A</v>
      </c>
    </row>
    <row r="29" spans="1:10">
      <c r="A29" s="64" t="s">
        <v>492</v>
      </c>
      <c r="B29" s="64" t="str">
        <f t="shared" si="0"/>
        <v>Eveling Del Rosario Paniagua Romero</v>
      </c>
      <c r="C29" s="64" t="s">
        <v>493</v>
      </c>
      <c r="D29" s="64" t="str">
        <f t="shared" si="1"/>
        <v>041-090354-0002L</v>
      </c>
      <c r="E29" s="64" t="s">
        <v>461</v>
      </c>
      <c r="F29" s="64" t="str">
        <f t="shared" si="2"/>
        <v>Refrigeracion</v>
      </c>
      <c r="G29" s="64" t="s">
        <v>448</v>
      </c>
      <c r="H29" s="64" t="str">
        <f t="shared" si="3"/>
        <v>Ayudante</v>
      </c>
      <c r="I29" s="82">
        <v>4</v>
      </c>
      <c r="J29" s="63" t="str">
        <f t="shared" si="4"/>
        <v>REFR-0354L-A</v>
      </c>
    </row>
    <row r="30" spans="1:10">
      <c r="A30" s="64" t="s">
        <v>494</v>
      </c>
      <c r="B30" s="64" t="str">
        <f t="shared" si="0"/>
        <v>Juana Acuña López</v>
      </c>
      <c r="C30" s="64" t="s">
        <v>495</v>
      </c>
      <c r="D30" s="64" t="str">
        <f t="shared" si="1"/>
        <v>162-151179-0002U</v>
      </c>
      <c r="E30" s="64" t="s">
        <v>464</v>
      </c>
      <c r="F30" s="64" t="str">
        <f t="shared" si="2"/>
        <v>Albañileria</v>
      </c>
      <c r="G30" s="64" t="s">
        <v>452</v>
      </c>
      <c r="H30" s="64" t="str">
        <f t="shared" si="3"/>
        <v>Oficial</v>
      </c>
      <c r="I30" s="82">
        <v>4</v>
      </c>
      <c r="J30" s="63" t="str">
        <f t="shared" si="4"/>
        <v>ALBA-1179U-O</v>
      </c>
    </row>
    <row r="31" spans="1:10">
      <c r="A31" s="64" t="s">
        <v>496</v>
      </c>
      <c r="B31" s="64" t="str">
        <f t="shared" si="0"/>
        <v>Miurel Anelky Martínez</v>
      </c>
      <c r="C31" s="64" t="s">
        <v>497</v>
      </c>
      <c r="D31" s="64" t="str">
        <f t="shared" si="1"/>
        <v>001-260979-0082S</v>
      </c>
      <c r="E31" s="64" t="s">
        <v>467</v>
      </c>
      <c r="F31" s="64" t="str">
        <f t="shared" si="2"/>
        <v>Electricista</v>
      </c>
      <c r="G31" s="64" t="s">
        <v>452</v>
      </c>
      <c r="H31" s="64" t="str">
        <f t="shared" si="3"/>
        <v>Oficial</v>
      </c>
      <c r="I31" s="82">
        <v>4</v>
      </c>
      <c r="J31" s="63" t="str">
        <f t="shared" si="4"/>
        <v>ELEC-0979S-O</v>
      </c>
    </row>
  </sheetData>
  <mergeCells count="1">
    <mergeCell ref="D4:I5"/>
  </mergeCells>
  <pageMargins left="0.7" right="0.7" top="0.75" bottom="0.75" header="0.3" footer="0.3"/>
  <pageSetup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2">
    <tabColor rgb="FF00B050"/>
  </sheetPr>
  <dimension ref="A1:K62"/>
  <sheetViews>
    <sheetView showGridLines="0" zoomScaleNormal="100" workbookViewId="0">
      <selection activeCell="H39" sqref="H39"/>
    </sheetView>
  </sheetViews>
  <sheetFormatPr baseColWidth="10" defaultRowHeight="14.4"/>
  <cols>
    <col min="1" max="1" width="11.6640625" bestFit="1" customWidth="1"/>
    <col min="2" max="2" width="17" bestFit="1" customWidth="1"/>
    <col min="3" max="3" width="16.88671875" bestFit="1" customWidth="1"/>
    <col min="4" max="4" width="14.109375" bestFit="1" customWidth="1"/>
    <col min="5" max="5" width="9.5546875" bestFit="1" customWidth="1"/>
    <col min="6" max="6" width="12.6640625" bestFit="1" customWidth="1"/>
    <col min="7" max="7" width="9.88671875" bestFit="1" customWidth="1"/>
    <col min="8" max="8" width="14.109375" bestFit="1" customWidth="1"/>
    <col min="9" max="9" width="11.109375" bestFit="1" customWidth="1"/>
  </cols>
  <sheetData>
    <row r="1" spans="1:9" ht="15.6" thickTop="1" thickBot="1">
      <c r="A1" s="240" t="s">
        <v>498</v>
      </c>
      <c r="B1" s="240"/>
      <c r="C1" s="240"/>
    </row>
    <row r="2" spans="1:9" ht="15.6" thickTop="1" thickBot="1">
      <c r="A2" s="240"/>
      <c r="B2" s="240"/>
      <c r="C2" s="240"/>
    </row>
    <row r="3" spans="1:9" ht="15" thickTop="1">
      <c r="E3" t="s">
        <v>499</v>
      </c>
    </row>
    <row r="4" spans="1:9" ht="15" customHeight="1">
      <c r="A4" s="241" t="s">
        <v>500</v>
      </c>
      <c r="B4" s="83" t="s">
        <v>501</v>
      </c>
      <c r="C4" s="84" t="s">
        <v>502</v>
      </c>
    </row>
    <row r="5" spans="1:9" ht="15" customHeight="1">
      <c r="A5" s="241"/>
      <c r="B5" s="83" t="s">
        <v>503</v>
      </c>
      <c r="C5" s="84" t="s">
        <v>504</v>
      </c>
    </row>
    <row r="6" spans="1:9" ht="15" customHeight="1">
      <c r="A6" s="241"/>
      <c r="B6" s="83" t="s">
        <v>505</v>
      </c>
      <c r="C6" s="84" t="s">
        <v>506</v>
      </c>
    </row>
    <row r="7" spans="1:9" ht="15" thickBot="1"/>
    <row r="8" spans="1:9" ht="16.8" thickTop="1" thickBot="1">
      <c r="A8" s="242" t="s">
        <v>507</v>
      </c>
      <c r="B8" s="242"/>
      <c r="C8" s="242"/>
    </row>
    <row r="9" spans="1:9" ht="15" thickTop="1">
      <c r="A9" s="85" t="s">
        <v>508</v>
      </c>
      <c r="B9" s="243" t="s">
        <v>509</v>
      </c>
      <c r="C9" s="243"/>
    </row>
    <row r="10" spans="1:9">
      <c r="A10" s="86" t="s">
        <v>510</v>
      </c>
      <c r="B10" s="244" t="s">
        <v>511</v>
      </c>
      <c r="C10" s="244"/>
    </row>
    <row r="11" spans="1:9">
      <c r="A11" s="86" t="s">
        <v>512</v>
      </c>
      <c r="B11" s="244" t="s">
        <v>511</v>
      </c>
      <c r="C11" s="244"/>
    </row>
    <row r="12" spans="1:9">
      <c r="E12" t="s">
        <v>513</v>
      </c>
    </row>
    <row r="14" spans="1:9">
      <c r="A14" s="87" t="s">
        <v>169</v>
      </c>
      <c r="B14" s="87" t="s">
        <v>514</v>
      </c>
      <c r="C14" s="87" t="s">
        <v>515</v>
      </c>
      <c r="E14" s="91" t="s">
        <v>169</v>
      </c>
      <c r="F14" s="91" t="s">
        <v>539</v>
      </c>
      <c r="G14" s="91" t="s">
        <v>540</v>
      </c>
      <c r="H14" s="92" t="s">
        <v>541</v>
      </c>
      <c r="I14" s="92" t="s">
        <v>542</v>
      </c>
    </row>
    <row r="15" spans="1:9">
      <c r="A15" s="1" t="s">
        <v>516</v>
      </c>
      <c r="B15" s="20" t="s">
        <v>517</v>
      </c>
      <c r="C15" s="20" t="str">
        <f>+IF(B15=$B$15,"rojo","azul")</f>
        <v>rojo</v>
      </c>
      <c r="E15" s="1" t="s">
        <v>543</v>
      </c>
      <c r="F15" s="93">
        <v>65</v>
      </c>
      <c r="G15" s="20" t="str">
        <f>IF(F15&gt;=70,"aprobado","reprobado")</f>
        <v>reprobado</v>
      </c>
      <c r="H15" s="20">
        <f>IF(G15=$G$15,10,0)</f>
        <v>10</v>
      </c>
      <c r="I15" s="20">
        <f>+F15+H15</f>
        <v>75</v>
      </c>
    </row>
    <row r="16" spans="1:9">
      <c r="A16" s="1" t="s">
        <v>518</v>
      </c>
      <c r="B16" s="20" t="s">
        <v>519</v>
      </c>
      <c r="C16" s="20" t="str">
        <f t="shared" ref="C16:C22" si="0">+IF(B16=$B$15,"rojo","azul")</f>
        <v>azul</v>
      </c>
      <c r="E16" s="1" t="s">
        <v>544</v>
      </c>
      <c r="F16" s="93">
        <v>69</v>
      </c>
      <c r="G16" s="20" t="str">
        <f t="shared" ref="G16:G18" si="1">IF(F16&gt;=70,"aprobado","reprobado")</f>
        <v>reprobado</v>
      </c>
      <c r="H16" s="20">
        <f t="shared" ref="H16:H18" si="2">IF(G16=$G$15,10,0)</f>
        <v>10</v>
      </c>
      <c r="I16" s="20">
        <f t="shared" ref="I16:I18" si="3">+F16+H16</f>
        <v>79</v>
      </c>
    </row>
    <row r="17" spans="1:11">
      <c r="A17" s="1" t="s">
        <v>520</v>
      </c>
      <c r="B17" s="20" t="s">
        <v>517</v>
      </c>
      <c r="C17" s="20" t="str">
        <f t="shared" si="0"/>
        <v>rojo</v>
      </c>
      <c r="E17" s="1" t="s">
        <v>545</v>
      </c>
      <c r="F17" s="93">
        <v>88</v>
      </c>
      <c r="G17" s="20" t="str">
        <f t="shared" si="1"/>
        <v>aprobado</v>
      </c>
      <c r="H17" s="20">
        <f t="shared" si="2"/>
        <v>0</v>
      </c>
      <c r="I17" s="20">
        <f t="shared" si="3"/>
        <v>88</v>
      </c>
    </row>
    <row r="18" spans="1:11">
      <c r="A18" s="1" t="s">
        <v>521</v>
      </c>
      <c r="B18" s="20" t="s">
        <v>519</v>
      </c>
      <c r="C18" s="20" t="str">
        <f t="shared" si="0"/>
        <v>azul</v>
      </c>
      <c r="E18" s="1" t="s">
        <v>546</v>
      </c>
      <c r="F18" s="93">
        <v>93</v>
      </c>
      <c r="G18" s="20" t="str">
        <f t="shared" si="1"/>
        <v>aprobado</v>
      </c>
      <c r="H18" s="20">
        <f t="shared" si="2"/>
        <v>0</v>
      </c>
      <c r="I18" s="20">
        <f t="shared" si="3"/>
        <v>93</v>
      </c>
    </row>
    <row r="19" spans="1:11">
      <c r="A19" s="1" t="s">
        <v>522</v>
      </c>
      <c r="B19" s="20" t="s">
        <v>517</v>
      </c>
      <c r="C19" s="20" t="str">
        <f t="shared" si="0"/>
        <v>rojo</v>
      </c>
    </row>
    <row r="20" spans="1:11">
      <c r="A20" s="1" t="s">
        <v>523</v>
      </c>
      <c r="B20" s="20" t="s">
        <v>517</v>
      </c>
      <c r="C20" s="20" t="str">
        <f t="shared" si="0"/>
        <v>rojo</v>
      </c>
      <c r="E20" s="94" t="s">
        <v>169</v>
      </c>
      <c r="F20" s="94" t="s">
        <v>547</v>
      </c>
      <c r="G20" s="94" t="s">
        <v>548</v>
      </c>
      <c r="H20" s="94" t="s">
        <v>549</v>
      </c>
      <c r="I20" s="94" t="s">
        <v>550</v>
      </c>
    </row>
    <row r="21" spans="1:11">
      <c r="A21" s="1" t="s">
        <v>524</v>
      </c>
      <c r="B21" s="20" t="s">
        <v>519</v>
      </c>
      <c r="C21" s="20" t="str">
        <f t="shared" si="0"/>
        <v>azul</v>
      </c>
      <c r="E21" s="1" t="s">
        <v>528</v>
      </c>
      <c r="F21" s="95">
        <v>30000</v>
      </c>
      <c r="G21" s="20" t="s">
        <v>551</v>
      </c>
      <c r="H21" s="96">
        <f>+IF(G21=$G$22,F21*15%,0)</f>
        <v>0</v>
      </c>
      <c r="I21" s="95">
        <f>+F21-H21</f>
        <v>30000</v>
      </c>
    </row>
    <row r="22" spans="1:11">
      <c r="A22" s="1" t="s">
        <v>525</v>
      </c>
      <c r="B22" s="20" t="s">
        <v>519</v>
      </c>
      <c r="C22" s="20" t="str">
        <f t="shared" si="0"/>
        <v>azul</v>
      </c>
      <c r="E22" s="1" t="s">
        <v>552</v>
      </c>
      <c r="F22" s="95">
        <v>50000</v>
      </c>
      <c r="G22" s="20" t="s">
        <v>553</v>
      </c>
      <c r="H22" s="96">
        <f t="shared" ref="H22:H24" si="4">+IF(G22=$G$22,F22*15%,0)</f>
        <v>7500</v>
      </c>
      <c r="I22" s="95">
        <f>+F22-H22</f>
        <v>42500</v>
      </c>
    </row>
    <row r="23" spans="1:11">
      <c r="E23" s="1" t="s">
        <v>554</v>
      </c>
      <c r="F23" s="95">
        <v>25000</v>
      </c>
      <c r="G23" s="20" t="s">
        <v>555</v>
      </c>
      <c r="H23" s="96">
        <f t="shared" si="4"/>
        <v>0</v>
      </c>
      <c r="I23" s="95">
        <f>+F23-H23</f>
        <v>25000</v>
      </c>
    </row>
    <row r="24" spans="1:11">
      <c r="A24" s="88" t="s">
        <v>169</v>
      </c>
      <c r="B24" s="88" t="s">
        <v>526</v>
      </c>
      <c r="C24" s="88" t="s">
        <v>527</v>
      </c>
      <c r="E24" s="1" t="s">
        <v>556</v>
      </c>
      <c r="F24" s="95">
        <v>60000</v>
      </c>
      <c r="G24" s="20" t="s">
        <v>553</v>
      </c>
      <c r="H24" s="96">
        <f t="shared" si="4"/>
        <v>9000</v>
      </c>
      <c r="I24" s="95">
        <f>+F24-H24</f>
        <v>51000</v>
      </c>
    </row>
    <row r="25" spans="1:11" ht="15" thickBot="1">
      <c r="A25" s="89" t="s">
        <v>528</v>
      </c>
      <c r="B25" s="20" t="s">
        <v>529</v>
      </c>
      <c r="C25" s="20" t="str">
        <f>IF(B25=$B$25,"con derecho","sin derecho")</f>
        <v>con derecho</v>
      </c>
    </row>
    <row r="26" spans="1:11" ht="15.75" customHeight="1" thickTop="1">
      <c r="A26" s="89" t="s">
        <v>530</v>
      </c>
      <c r="B26" s="20" t="s">
        <v>531</v>
      </c>
      <c r="C26" s="20" t="str">
        <f t="shared" ref="C26:C29" si="5">IF(B26=$B$25,"con derecho","sin derecho")</f>
        <v>sin derecho</v>
      </c>
      <c r="E26" s="230" t="s">
        <v>557</v>
      </c>
      <c r="F26" s="231"/>
      <c r="G26" s="231"/>
      <c r="H26" s="231"/>
      <c r="I26" s="232"/>
    </row>
    <row r="27" spans="1:11" ht="15" thickBot="1">
      <c r="A27" s="89" t="s">
        <v>532</v>
      </c>
      <c r="B27" s="20" t="s">
        <v>529</v>
      </c>
      <c r="C27" s="20" t="str">
        <f t="shared" si="5"/>
        <v>con derecho</v>
      </c>
      <c r="E27" s="233"/>
      <c r="F27" s="234"/>
      <c r="G27" s="234"/>
      <c r="H27" s="234"/>
      <c r="I27" s="235"/>
    </row>
    <row r="28" spans="1:11" ht="15.6" thickTop="1" thickBot="1">
      <c r="A28" s="89" t="s">
        <v>533</v>
      </c>
      <c r="B28" s="20" t="s">
        <v>529</v>
      </c>
      <c r="C28" s="20" t="str">
        <f t="shared" si="5"/>
        <v>con derecho</v>
      </c>
      <c r="E28" s="97" t="s">
        <v>169</v>
      </c>
      <c r="F28" s="97" t="s">
        <v>547</v>
      </c>
      <c r="G28" s="97" t="s">
        <v>548</v>
      </c>
      <c r="H28" s="97" t="s">
        <v>558</v>
      </c>
    </row>
    <row r="29" spans="1:11" ht="15" customHeight="1">
      <c r="A29" s="89" t="s">
        <v>525</v>
      </c>
      <c r="B29" s="20" t="s">
        <v>531</v>
      </c>
      <c r="C29" s="20" t="str">
        <f t="shared" si="5"/>
        <v>sin derecho</v>
      </c>
      <c r="E29" s="1" t="s">
        <v>528</v>
      </c>
      <c r="F29" s="95">
        <v>55000</v>
      </c>
      <c r="G29" s="20" t="s">
        <v>559</v>
      </c>
      <c r="H29" s="95">
        <f>+IF(AND(G29=$G$30,F29&gt;50000),12%*F29,0)</f>
        <v>0</v>
      </c>
      <c r="J29" s="236" t="s">
        <v>560</v>
      </c>
      <c r="K29" s="236"/>
    </row>
    <row r="30" spans="1:11">
      <c r="E30" s="1" t="s">
        <v>552</v>
      </c>
      <c r="F30" s="95">
        <v>45000</v>
      </c>
      <c r="G30" s="20" t="s">
        <v>561</v>
      </c>
      <c r="H30" s="95">
        <f t="shared" ref="H30:H33" si="6">+IF(AND(G30=$G$30,F30&gt;50000),12%*F30,0)</f>
        <v>0</v>
      </c>
      <c r="J30" s="237"/>
      <c r="K30" s="237"/>
    </row>
    <row r="31" spans="1:11">
      <c r="A31" s="90" t="s">
        <v>169</v>
      </c>
      <c r="B31" s="90" t="s">
        <v>32</v>
      </c>
      <c r="C31" s="90" t="s">
        <v>534</v>
      </c>
      <c r="E31" s="1" t="s">
        <v>554</v>
      </c>
      <c r="F31" s="95">
        <v>25000</v>
      </c>
      <c r="G31" s="20" t="s">
        <v>559</v>
      </c>
      <c r="H31" s="95">
        <f t="shared" si="6"/>
        <v>0</v>
      </c>
      <c r="J31" s="237"/>
      <c r="K31" s="237"/>
    </row>
    <row r="32" spans="1:11">
      <c r="A32" s="1" t="s">
        <v>535</v>
      </c>
      <c r="B32" s="20">
        <v>30</v>
      </c>
      <c r="C32" s="20" t="str">
        <f>IF(B32&gt;=16,"Entrada permitida","Prohibida entrada")</f>
        <v>Entrada permitida</v>
      </c>
      <c r="E32" s="1" t="s">
        <v>556</v>
      </c>
      <c r="F32" s="95">
        <v>60000</v>
      </c>
      <c r="G32" s="20" t="s">
        <v>559</v>
      </c>
      <c r="H32" s="95">
        <f t="shared" si="6"/>
        <v>0</v>
      </c>
      <c r="J32" s="237"/>
      <c r="K32" s="237"/>
    </row>
    <row r="33" spans="1:11">
      <c r="A33" s="1" t="s">
        <v>536</v>
      </c>
      <c r="B33" s="20">
        <v>15</v>
      </c>
      <c r="C33" s="20" t="str">
        <f t="shared" ref="C33:C36" si="7">IF(B33&gt;=16,"Entrada permitida","Prohibida entrada")</f>
        <v>Prohibida entrada</v>
      </c>
      <c r="E33" s="1" t="s">
        <v>562</v>
      </c>
      <c r="F33" s="95">
        <v>120000</v>
      </c>
      <c r="G33" s="20" t="s">
        <v>561</v>
      </c>
      <c r="H33" s="95">
        <f t="shared" si="6"/>
        <v>14400</v>
      </c>
      <c r="J33" s="98"/>
      <c r="K33" s="98"/>
    </row>
    <row r="34" spans="1:11" ht="15" thickBot="1">
      <c r="A34" s="1" t="s">
        <v>537</v>
      </c>
      <c r="B34" s="20">
        <v>18</v>
      </c>
      <c r="C34" s="20" t="str">
        <f t="shared" si="7"/>
        <v>Entrada permitida</v>
      </c>
    </row>
    <row r="35" spans="1:11" ht="15.75" customHeight="1" thickTop="1">
      <c r="A35" s="1" t="s">
        <v>538</v>
      </c>
      <c r="B35" s="20">
        <v>25</v>
      </c>
      <c r="C35" s="20" t="str">
        <f t="shared" si="7"/>
        <v>Entrada permitida</v>
      </c>
      <c r="E35" s="230" t="s">
        <v>563</v>
      </c>
      <c r="F35" s="231"/>
      <c r="G35" s="231"/>
      <c r="H35" s="231"/>
      <c r="I35" s="232"/>
    </row>
    <row r="36" spans="1:11" ht="15" thickBot="1">
      <c r="A36" s="1" t="s">
        <v>518</v>
      </c>
      <c r="B36" s="20">
        <v>17</v>
      </c>
      <c r="C36" s="20" t="str">
        <f t="shared" si="7"/>
        <v>Entrada permitida</v>
      </c>
      <c r="E36" s="233"/>
      <c r="F36" s="234"/>
      <c r="G36" s="234"/>
      <c r="H36" s="234"/>
      <c r="I36" s="235"/>
    </row>
    <row r="37" spans="1:11" ht="15.6" thickTop="1" thickBot="1"/>
    <row r="38" spans="1:11">
      <c r="E38" s="97" t="s">
        <v>169</v>
      </c>
      <c r="F38" s="97" t="s">
        <v>547</v>
      </c>
      <c r="G38" s="97" t="s">
        <v>548</v>
      </c>
      <c r="H38" s="97" t="s">
        <v>558</v>
      </c>
      <c r="J38" s="238" t="s">
        <v>564</v>
      </c>
      <c r="K38" s="238"/>
    </row>
    <row r="39" spans="1:11">
      <c r="E39" s="1" t="s">
        <v>528</v>
      </c>
      <c r="F39" s="95">
        <v>30000</v>
      </c>
      <c r="G39" s="20" t="s">
        <v>551</v>
      </c>
      <c r="H39" s="95">
        <f>+IF(OR(G39=$G$40,G39=$G$42),F39*7%,0)</f>
        <v>0</v>
      </c>
      <c r="J39" s="239"/>
      <c r="K39" s="239"/>
    </row>
    <row r="40" spans="1:11">
      <c r="E40" s="1" t="s">
        <v>552</v>
      </c>
      <c r="F40" s="95">
        <v>50000</v>
      </c>
      <c r="G40" s="20" t="s">
        <v>561</v>
      </c>
      <c r="H40" s="95">
        <f t="shared" ref="H40:H43" si="8">+IF(OR(G40=$G$40,G40=$G$42),F40*7%,0)</f>
        <v>3500.0000000000005</v>
      </c>
      <c r="J40" s="239"/>
      <c r="K40" s="239"/>
    </row>
    <row r="41" spans="1:11">
      <c r="E41" s="1" t="s">
        <v>554</v>
      </c>
      <c r="F41" s="95">
        <v>25000</v>
      </c>
      <c r="G41" s="20" t="s">
        <v>555</v>
      </c>
      <c r="H41" s="95">
        <f t="shared" si="8"/>
        <v>0</v>
      </c>
      <c r="J41" s="239"/>
      <c r="K41" s="239"/>
    </row>
    <row r="42" spans="1:11">
      <c r="E42" s="1" t="s">
        <v>556</v>
      </c>
      <c r="F42" s="95">
        <v>60000</v>
      </c>
      <c r="G42" s="20" t="s">
        <v>565</v>
      </c>
      <c r="H42" s="95">
        <f t="shared" si="8"/>
        <v>4200</v>
      </c>
    </row>
    <row r="43" spans="1:11">
      <c r="E43" s="1" t="s">
        <v>562</v>
      </c>
      <c r="F43" s="95">
        <v>12000</v>
      </c>
      <c r="G43" s="20" t="s">
        <v>561</v>
      </c>
      <c r="H43" s="95">
        <f t="shared" si="8"/>
        <v>840.00000000000011</v>
      </c>
    </row>
    <row r="53" ht="15" customHeight="1"/>
    <row r="62" ht="15" customHeight="1"/>
  </sheetData>
  <mergeCells count="10">
    <mergeCell ref="E26:I27"/>
    <mergeCell ref="J29:K32"/>
    <mergeCell ref="E35:I36"/>
    <mergeCell ref="J38:K41"/>
    <mergeCell ref="A1:C2"/>
    <mergeCell ref="A4:A6"/>
    <mergeCell ref="A8:C8"/>
    <mergeCell ref="B9:C9"/>
    <mergeCell ref="B10:C10"/>
    <mergeCell ref="B11:C11"/>
  </mergeCells>
  <conditionalFormatting sqref="C15:C22">
    <cfRule type="containsText" dxfId="16" priority="7" operator="containsText" text="azul">
      <formula>NOT(ISERROR(SEARCH("azul",C15)))</formula>
    </cfRule>
    <cfRule type="containsText" dxfId="15" priority="8" operator="containsText" text="azul">
      <formula>NOT(ISERROR(SEARCH("azul",C15)))</formula>
    </cfRule>
    <cfRule type="containsText" dxfId="14" priority="9" operator="containsText" text="rojo">
      <formula>NOT(ISERROR(SEARCH("rojo",C15)))</formula>
    </cfRule>
  </conditionalFormatting>
  <conditionalFormatting sqref="C25:C29">
    <cfRule type="containsText" dxfId="13" priority="3" operator="containsText" text="sin derecho">
      <formula>NOT(ISERROR(SEARCH("sin derecho",C25)))</formula>
    </cfRule>
    <cfRule type="containsText" dxfId="12" priority="4" operator="containsText" text="con derecho">
      <formula>NOT(ISERROR(SEARCH("con derecho",C25)))</formula>
    </cfRule>
    <cfRule type="containsText" dxfId="11" priority="5" operator="containsText" text="con derecho">
      <formula>NOT(ISERROR(SEARCH("con derecho",C25)))</formula>
    </cfRule>
    <cfRule type="containsText" dxfId="10" priority="6" operator="containsText" text="con derecho">
      <formula>NOT(ISERROR(SEARCH("con derecho",C25)))</formula>
    </cfRule>
  </conditionalFormatting>
  <conditionalFormatting sqref="C32:C36">
    <cfRule type="containsText" dxfId="9" priority="1" operator="containsText" text="prohibida entrada">
      <formula>NOT(ISERROR(SEARCH("prohibida entrada",C32)))</formula>
    </cfRule>
    <cfRule type="containsText" dxfId="8" priority="2" operator="containsText" text="Entrada permitida">
      <formula>NOT(ISERROR(SEARCH("Entrada permitida",C32)))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3">
    <tabColor rgb="FF0070C0"/>
  </sheetPr>
  <dimension ref="A1:L49"/>
  <sheetViews>
    <sheetView showGridLines="0" topLeftCell="A25" zoomScale="115" zoomScaleNormal="115" workbookViewId="0">
      <selection activeCell="F7" sqref="F7"/>
    </sheetView>
  </sheetViews>
  <sheetFormatPr baseColWidth="10" defaultRowHeight="14.4"/>
  <cols>
    <col min="1" max="1" width="11.33203125" bestFit="1" customWidth="1"/>
    <col min="2" max="2" width="14.88671875" bestFit="1" customWidth="1"/>
    <col min="3" max="3" width="13.44140625" bestFit="1" customWidth="1"/>
    <col min="4" max="5" width="22" bestFit="1" customWidth="1"/>
    <col min="6" max="9" width="12.33203125" bestFit="1" customWidth="1"/>
    <col min="11" max="11" width="12.44140625" bestFit="1" customWidth="1"/>
    <col min="12" max="12" width="12.33203125" bestFit="1" customWidth="1"/>
  </cols>
  <sheetData>
    <row r="1" spans="1:12" ht="18" customHeight="1">
      <c r="A1" s="99" t="s">
        <v>566</v>
      </c>
      <c r="B1" s="99" t="s">
        <v>567</v>
      </c>
      <c r="C1" s="99" t="s">
        <v>568</v>
      </c>
      <c r="D1" s="99" t="s">
        <v>569</v>
      </c>
      <c r="E1" s="99" t="s">
        <v>570</v>
      </c>
      <c r="F1" s="99" t="s">
        <v>571</v>
      </c>
      <c r="G1" s="99" t="s">
        <v>572</v>
      </c>
      <c r="H1" s="99" t="s">
        <v>573</v>
      </c>
      <c r="K1" s="186" t="s">
        <v>570</v>
      </c>
      <c r="L1" s="186" t="s">
        <v>573</v>
      </c>
    </row>
    <row r="2" spans="1:12">
      <c r="A2" s="20" t="s">
        <v>574</v>
      </c>
      <c r="B2" s="20" t="s">
        <v>575</v>
      </c>
      <c r="C2" s="20">
        <v>5</v>
      </c>
      <c r="D2" s="20">
        <v>40</v>
      </c>
      <c r="E2" s="1">
        <f>C2+D2</f>
        <v>45</v>
      </c>
      <c r="F2" s="1" t="str">
        <f>+IF(E2&gt;70,"APROBADO","REPROBADO")</f>
        <v>REPROBADO</v>
      </c>
      <c r="G2" s="183">
        <f>+IF(E2&gt;90,"BECADO",0)</f>
        <v>0</v>
      </c>
      <c r="H2" s="1" t="str">
        <f>+IF(E2&lt;=58,$L$2,IF(E2&lt;=69,$L$3,IF(E2&lt;=79,$L$4,IF(E2&lt;=89,$L$5,$L$6))))</f>
        <v>DEFICIENTE</v>
      </c>
      <c r="K2" s="185" t="s">
        <v>576</v>
      </c>
      <c r="L2" s="185" t="s">
        <v>577</v>
      </c>
    </row>
    <row r="3" spans="1:12">
      <c r="A3" s="20" t="s">
        <v>578</v>
      </c>
      <c r="B3" s="20" t="s">
        <v>192</v>
      </c>
      <c r="C3" s="20">
        <v>6</v>
      </c>
      <c r="D3" s="20">
        <v>44</v>
      </c>
      <c r="E3" s="1">
        <f t="shared" ref="E3:E13" si="0">C3+D3</f>
        <v>50</v>
      </c>
      <c r="F3" s="1" t="str">
        <f t="shared" ref="F3:F13" si="1">+IF(E3&gt;70,"APROBADO","REPROBADO")</f>
        <v>REPROBADO</v>
      </c>
      <c r="G3" s="183">
        <f t="shared" ref="G3:G13" si="2">+IF(E3&gt;90,"BECADO",0)</f>
        <v>0</v>
      </c>
      <c r="H3" s="1" t="str">
        <f t="shared" ref="H3:H6" si="3">+IF(E3&lt;=58,$L$2,IF(E3&lt;=69,$L$3,IF(E3&lt;=79,$L$4,IF(E3&lt;=89,$L$5,$L$6))))</f>
        <v>DEFICIENTE</v>
      </c>
      <c r="K3" s="185" t="s">
        <v>579</v>
      </c>
      <c r="L3" s="185" t="s">
        <v>580</v>
      </c>
    </row>
    <row r="4" spans="1:12">
      <c r="A4" s="20" t="s">
        <v>581</v>
      </c>
      <c r="B4" s="20" t="s">
        <v>582</v>
      </c>
      <c r="C4" s="20">
        <v>7</v>
      </c>
      <c r="D4" s="20">
        <v>48</v>
      </c>
      <c r="E4" s="1">
        <f t="shared" si="0"/>
        <v>55</v>
      </c>
      <c r="F4" s="1" t="str">
        <f t="shared" si="1"/>
        <v>REPROBADO</v>
      </c>
      <c r="G4" s="183">
        <f t="shared" si="2"/>
        <v>0</v>
      </c>
      <c r="H4" s="1" t="str">
        <f t="shared" si="3"/>
        <v>DEFICIENTE</v>
      </c>
      <c r="K4" s="185" t="s">
        <v>583</v>
      </c>
      <c r="L4" s="185" t="s">
        <v>584</v>
      </c>
    </row>
    <row r="5" spans="1:12" s="102" customFormat="1">
      <c r="A5" s="101" t="s">
        <v>585</v>
      </c>
      <c r="B5" s="101" t="s">
        <v>575</v>
      </c>
      <c r="C5" s="101">
        <v>20</v>
      </c>
      <c r="D5" s="101">
        <v>75</v>
      </c>
      <c r="E5" s="1">
        <f t="shared" si="0"/>
        <v>95</v>
      </c>
      <c r="F5" s="1" t="str">
        <f t="shared" si="1"/>
        <v>APROBADO</v>
      </c>
      <c r="G5" s="183" t="str">
        <f t="shared" si="2"/>
        <v>BECADO</v>
      </c>
      <c r="H5" s="1" t="str">
        <f t="shared" si="3"/>
        <v>EXCELENTE</v>
      </c>
      <c r="K5" s="185" t="s">
        <v>586</v>
      </c>
      <c r="L5" s="185" t="s">
        <v>587</v>
      </c>
    </row>
    <row r="6" spans="1:12">
      <c r="A6" s="101" t="s">
        <v>588</v>
      </c>
      <c r="B6" s="101" t="s">
        <v>192</v>
      </c>
      <c r="C6" s="101">
        <v>9</v>
      </c>
      <c r="D6" s="101">
        <v>56</v>
      </c>
      <c r="E6" s="1">
        <f t="shared" si="0"/>
        <v>65</v>
      </c>
      <c r="F6" s="1" t="str">
        <f t="shared" si="1"/>
        <v>REPROBADO</v>
      </c>
      <c r="G6" s="183">
        <f t="shared" si="2"/>
        <v>0</v>
      </c>
      <c r="H6" s="1" t="str">
        <f t="shared" si="3"/>
        <v>REGULAR</v>
      </c>
      <c r="K6" s="185" t="s">
        <v>589</v>
      </c>
      <c r="L6" s="185" t="s">
        <v>590</v>
      </c>
    </row>
    <row r="7" spans="1:12">
      <c r="A7" s="101" t="s">
        <v>591</v>
      </c>
      <c r="B7" s="101" t="s">
        <v>582</v>
      </c>
      <c r="C7" s="101">
        <v>10</v>
      </c>
      <c r="D7" s="101">
        <v>60</v>
      </c>
      <c r="E7" s="1">
        <f t="shared" si="0"/>
        <v>70</v>
      </c>
      <c r="F7" s="1" t="str">
        <f t="shared" si="1"/>
        <v>REPROBADO</v>
      </c>
      <c r="G7" s="183">
        <f t="shared" si="2"/>
        <v>0</v>
      </c>
      <c r="H7" s="1" t="str">
        <f>+IF(E7&lt;=58,$L$2,IF(E7&lt;=69,$L$3,IF(E7&lt;=79,$L$4,IF(E7&lt;=89,$L$5,$L$6))))</f>
        <v>BUENO</v>
      </c>
    </row>
    <row r="8" spans="1:12">
      <c r="A8" s="101" t="s">
        <v>592</v>
      </c>
      <c r="B8" s="101" t="s">
        <v>575</v>
      </c>
      <c r="C8" s="101">
        <v>11</v>
      </c>
      <c r="D8" s="101">
        <v>64</v>
      </c>
      <c r="E8" s="1">
        <f t="shared" si="0"/>
        <v>75</v>
      </c>
      <c r="F8" s="1" t="str">
        <f t="shared" si="1"/>
        <v>APROBADO</v>
      </c>
      <c r="G8" s="183">
        <f t="shared" si="2"/>
        <v>0</v>
      </c>
      <c r="H8" s="1" t="str">
        <f t="shared" ref="H8:H13" si="4">+IF(E8&lt;=58,$L$2,IF(E8&lt;=69,$L$3,IF(E8&lt;=79,$L$4,IF(E8&lt;=89,$L$5,$L$6))))</f>
        <v>BUENO</v>
      </c>
    </row>
    <row r="9" spans="1:12">
      <c r="A9" s="101" t="s">
        <v>593</v>
      </c>
      <c r="B9" s="101" t="s">
        <v>192</v>
      </c>
      <c r="C9" s="101">
        <v>12</v>
      </c>
      <c r="D9" s="101">
        <v>68</v>
      </c>
      <c r="E9" s="1">
        <f t="shared" si="0"/>
        <v>80</v>
      </c>
      <c r="F9" s="1" t="str">
        <f t="shared" si="1"/>
        <v>APROBADO</v>
      </c>
      <c r="G9" s="183">
        <f t="shared" si="2"/>
        <v>0</v>
      </c>
      <c r="H9" s="1" t="str">
        <f t="shared" si="4"/>
        <v>MUY BUENO</v>
      </c>
    </row>
    <row r="10" spans="1:12">
      <c r="A10" s="101" t="s">
        <v>594</v>
      </c>
      <c r="B10" s="101" t="s">
        <v>582</v>
      </c>
      <c r="C10" s="101">
        <v>13</v>
      </c>
      <c r="D10" s="101">
        <v>72</v>
      </c>
      <c r="E10" s="1">
        <f t="shared" si="0"/>
        <v>85</v>
      </c>
      <c r="F10" s="1" t="str">
        <f t="shared" si="1"/>
        <v>APROBADO</v>
      </c>
      <c r="G10" s="183">
        <f t="shared" si="2"/>
        <v>0</v>
      </c>
      <c r="H10" s="1" t="str">
        <f t="shared" si="4"/>
        <v>MUY BUENO</v>
      </c>
    </row>
    <row r="11" spans="1:12" s="102" customFormat="1">
      <c r="A11" s="101" t="s">
        <v>595</v>
      </c>
      <c r="B11" s="101" t="s">
        <v>575</v>
      </c>
      <c r="C11" s="101">
        <v>14</v>
      </c>
      <c r="D11" s="101">
        <v>76</v>
      </c>
      <c r="E11" s="1">
        <f t="shared" si="0"/>
        <v>90</v>
      </c>
      <c r="F11" s="1" t="str">
        <f t="shared" si="1"/>
        <v>APROBADO</v>
      </c>
      <c r="G11" s="183">
        <f t="shared" si="2"/>
        <v>0</v>
      </c>
      <c r="H11" s="1" t="str">
        <f t="shared" si="4"/>
        <v>EXCELENTE</v>
      </c>
    </row>
    <row r="12" spans="1:12">
      <c r="A12" s="20" t="s">
        <v>596</v>
      </c>
      <c r="B12" s="20" t="s">
        <v>192</v>
      </c>
      <c r="C12" s="20">
        <v>15</v>
      </c>
      <c r="D12" s="20">
        <v>80</v>
      </c>
      <c r="E12" s="1">
        <f t="shared" si="0"/>
        <v>95</v>
      </c>
      <c r="F12" s="1" t="str">
        <f t="shared" si="1"/>
        <v>APROBADO</v>
      </c>
      <c r="G12" s="183" t="str">
        <f t="shared" si="2"/>
        <v>BECADO</v>
      </c>
      <c r="H12" s="1" t="str">
        <f t="shared" si="4"/>
        <v>EXCELENTE</v>
      </c>
    </row>
    <row r="13" spans="1:12">
      <c r="A13" s="20" t="s">
        <v>597</v>
      </c>
      <c r="B13" s="20" t="s">
        <v>582</v>
      </c>
      <c r="C13" s="20">
        <v>16</v>
      </c>
      <c r="D13" s="20">
        <v>84</v>
      </c>
      <c r="E13" s="1">
        <f t="shared" si="0"/>
        <v>100</v>
      </c>
      <c r="F13" s="1" t="str">
        <f t="shared" si="1"/>
        <v>APROBADO</v>
      </c>
      <c r="G13" s="183" t="str">
        <f t="shared" si="2"/>
        <v>BECADO</v>
      </c>
      <c r="H13" s="1" t="str">
        <f t="shared" si="4"/>
        <v>EXCELENTE</v>
      </c>
    </row>
    <row r="14" spans="1:12" ht="5.25" customHeight="1"/>
    <row r="16" spans="1:12">
      <c r="A16" s="99" t="s">
        <v>598</v>
      </c>
      <c r="B16" s="99" t="s">
        <v>442</v>
      </c>
      <c r="C16" s="99" t="s">
        <v>599</v>
      </c>
      <c r="D16" s="99" t="s">
        <v>600</v>
      </c>
      <c r="E16" s="99" t="s">
        <v>601</v>
      </c>
      <c r="F16" s="99" t="s">
        <v>602</v>
      </c>
      <c r="G16" s="99" t="s">
        <v>603</v>
      </c>
      <c r="H16" s="99" t="s">
        <v>604</v>
      </c>
      <c r="I16" s="99" t="s">
        <v>605</v>
      </c>
      <c r="K16" s="99" t="s">
        <v>442</v>
      </c>
      <c r="L16" s="99" t="s">
        <v>605</v>
      </c>
    </row>
    <row r="17" spans="1:12">
      <c r="A17" s="20" t="s">
        <v>606</v>
      </c>
      <c r="B17" s="1" t="s">
        <v>607</v>
      </c>
      <c r="C17" s="20">
        <v>2000</v>
      </c>
      <c r="D17" s="184">
        <f>+IF(B17=$B$19,C17+300,0)</f>
        <v>0</v>
      </c>
      <c r="E17" s="184" t="str">
        <f t="shared" ref="E17:E36" si="5">+IF(OR(C17=3000,C17&lt;3000),"500","100")</f>
        <v>500</v>
      </c>
      <c r="F17" s="184">
        <f>+IF(B17=$B$26,C17*20%,0)</f>
        <v>0</v>
      </c>
      <c r="G17" s="184" t="str">
        <f>IF(AND(B17=$B$17,C17&lt;4000),"500","0")</f>
        <v>500</v>
      </c>
      <c r="H17" s="184">
        <f>+IF(AND(B17=$B$17,B19=$B$19),C17*20%,C17*10%)</f>
        <v>400</v>
      </c>
      <c r="I17" s="1">
        <f>+IF(B17="VIGILANTE",300,IF(B17="AFANADORA",350,IF(B17="SECRETARIA",450,IF(B17="CONTADOR",450,0))))</f>
        <v>300</v>
      </c>
      <c r="K17" s="1" t="s">
        <v>607</v>
      </c>
      <c r="L17" s="20">
        <v>300</v>
      </c>
    </row>
    <row r="18" spans="1:12">
      <c r="A18" s="20" t="s">
        <v>608</v>
      </c>
      <c r="B18" s="1" t="s">
        <v>609</v>
      </c>
      <c r="C18" s="20">
        <v>2500</v>
      </c>
      <c r="D18" s="184">
        <f t="shared" ref="D18:D36" si="6">+IF(B18=$B$19,C18+300,0)</f>
        <v>0</v>
      </c>
      <c r="E18" s="184" t="str">
        <f t="shared" si="5"/>
        <v>500</v>
      </c>
      <c r="F18" s="184">
        <f t="shared" ref="F18:F36" si="7">+IF(B18=$B$26,C18*20%,0)</f>
        <v>500</v>
      </c>
      <c r="G18" s="184" t="str">
        <f t="shared" ref="G18:G36" si="8">IF(AND(B18=$B$17,C18&lt;4000),"500","0")</f>
        <v>0</v>
      </c>
      <c r="H18" s="184">
        <f t="shared" ref="H18:H35" si="9">+IF(AND(B18=$B$17,B20=$B$19),C18*20%,C18*10%)</f>
        <v>250</v>
      </c>
      <c r="I18" s="1">
        <f t="shared" ref="I18:I36" si="10">+IF(B18="VIGILANTE",300,IF(B18="AFANADORA",350,IF(B18="SECRETARIA",450,IF(B18="CONTADOR",450,0))))</f>
        <v>350</v>
      </c>
      <c r="K18" s="1" t="s">
        <v>609</v>
      </c>
      <c r="L18" s="20">
        <v>350</v>
      </c>
    </row>
    <row r="19" spans="1:12">
      <c r="A19" s="20" t="s">
        <v>610</v>
      </c>
      <c r="B19" s="1" t="s">
        <v>611</v>
      </c>
      <c r="C19" s="20">
        <v>3000</v>
      </c>
      <c r="D19" s="184">
        <f t="shared" si="6"/>
        <v>3300</v>
      </c>
      <c r="E19" s="184" t="str">
        <f t="shared" si="5"/>
        <v>500</v>
      </c>
      <c r="F19" s="184">
        <f t="shared" si="7"/>
        <v>0</v>
      </c>
      <c r="G19" s="184" t="str">
        <f t="shared" si="8"/>
        <v>0</v>
      </c>
      <c r="H19" s="184">
        <f t="shared" si="9"/>
        <v>300</v>
      </c>
      <c r="I19" s="1">
        <f t="shared" si="10"/>
        <v>450</v>
      </c>
      <c r="K19" s="1" t="s">
        <v>611</v>
      </c>
      <c r="L19" s="20">
        <v>400</v>
      </c>
    </row>
    <row r="20" spans="1:12">
      <c r="A20" s="20" t="s">
        <v>612</v>
      </c>
      <c r="B20" s="1" t="s">
        <v>613</v>
      </c>
      <c r="C20" s="20">
        <v>3500</v>
      </c>
      <c r="D20" s="184">
        <f t="shared" si="6"/>
        <v>0</v>
      </c>
      <c r="E20" s="184" t="str">
        <f t="shared" si="5"/>
        <v>100</v>
      </c>
      <c r="F20" s="184">
        <f t="shared" si="7"/>
        <v>0</v>
      </c>
      <c r="G20" s="184" t="str">
        <f t="shared" si="8"/>
        <v>0</v>
      </c>
      <c r="H20" s="184">
        <f t="shared" si="9"/>
        <v>350</v>
      </c>
      <c r="I20" s="1">
        <f t="shared" si="10"/>
        <v>450</v>
      </c>
      <c r="K20" s="1" t="s">
        <v>613</v>
      </c>
      <c r="L20" s="20">
        <v>450</v>
      </c>
    </row>
    <row r="21" spans="1:12">
      <c r="A21" s="20" t="s">
        <v>614</v>
      </c>
      <c r="B21" s="1" t="s">
        <v>607</v>
      </c>
      <c r="C21" s="20">
        <v>4000</v>
      </c>
      <c r="D21" s="184">
        <f t="shared" si="6"/>
        <v>0</v>
      </c>
      <c r="E21" s="184" t="str">
        <f t="shared" si="5"/>
        <v>100</v>
      </c>
      <c r="F21" s="184">
        <f t="shared" si="7"/>
        <v>0</v>
      </c>
      <c r="G21" s="184" t="str">
        <f t="shared" si="8"/>
        <v>0</v>
      </c>
      <c r="H21" s="184">
        <f t="shared" si="9"/>
        <v>800</v>
      </c>
      <c r="I21" s="1">
        <f t="shared" si="10"/>
        <v>300</v>
      </c>
      <c r="K21" s="1" t="s">
        <v>615</v>
      </c>
      <c r="L21" s="20">
        <v>0</v>
      </c>
    </row>
    <row r="22" spans="1:12">
      <c r="A22" s="20" t="s">
        <v>616</v>
      </c>
      <c r="B22" s="1" t="s">
        <v>609</v>
      </c>
      <c r="C22" s="20">
        <v>4500</v>
      </c>
      <c r="D22" s="184">
        <f t="shared" si="6"/>
        <v>0</v>
      </c>
      <c r="E22" s="184" t="str">
        <f t="shared" si="5"/>
        <v>100</v>
      </c>
      <c r="F22" s="184">
        <f t="shared" si="7"/>
        <v>900</v>
      </c>
      <c r="G22" s="184" t="str">
        <f t="shared" si="8"/>
        <v>0</v>
      </c>
      <c r="H22" s="184">
        <f t="shared" si="9"/>
        <v>450</v>
      </c>
      <c r="I22" s="1">
        <f t="shared" si="10"/>
        <v>350</v>
      </c>
    </row>
    <row r="23" spans="1:12">
      <c r="A23" s="20" t="s">
        <v>617</v>
      </c>
      <c r="B23" s="1" t="s">
        <v>611</v>
      </c>
      <c r="C23" s="20">
        <v>5000</v>
      </c>
      <c r="D23" s="184">
        <f t="shared" si="6"/>
        <v>5300</v>
      </c>
      <c r="E23" s="184" t="str">
        <f t="shared" si="5"/>
        <v>100</v>
      </c>
      <c r="F23" s="184">
        <f t="shared" si="7"/>
        <v>0</v>
      </c>
      <c r="G23" s="184" t="str">
        <f t="shared" si="8"/>
        <v>0</v>
      </c>
      <c r="H23" s="184">
        <f t="shared" si="9"/>
        <v>500</v>
      </c>
      <c r="I23" s="1">
        <f t="shared" si="10"/>
        <v>450</v>
      </c>
    </row>
    <row r="24" spans="1:12">
      <c r="A24" s="20" t="s">
        <v>618</v>
      </c>
      <c r="B24" s="1" t="s">
        <v>613</v>
      </c>
      <c r="C24" s="20">
        <v>5500</v>
      </c>
      <c r="D24" s="184">
        <f t="shared" si="6"/>
        <v>0</v>
      </c>
      <c r="E24" s="184" t="str">
        <f t="shared" si="5"/>
        <v>100</v>
      </c>
      <c r="F24" s="184">
        <f t="shared" si="7"/>
        <v>0</v>
      </c>
      <c r="G24" s="184" t="str">
        <f t="shared" si="8"/>
        <v>0</v>
      </c>
      <c r="H24" s="184">
        <f t="shared" si="9"/>
        <v>550</v>
      </c>
      <c r="I24" s="1">
        <f t="shared" si="10"/>
        <v>450</v>
      </c>
    </row>
    <row r="25" spans="1:12">
      <c r="A25" s="20" t="s">
        <v>619</v>
      </c>
      <c r="B25" s="1" t="s">
        <v>607</v>
      </c>
      <c r="C25" s="20">
        <v>2500</v>
      </c>
      <c r="D25" s="184">
        <f t="shared" si="6"/>
        <v>0</v>
      </c>
      <c r="E25" s="184" t="str">
        <f t="shared" si="5"/>
        <v>500</v>
      </c>
      <c r="F25" s="184">
        <f t="shared" si="7"/>
        <v>0</v>
      </c>
      <c r="G25" s="184" t="str">
        <f t="shared" si="8"/>
        <v>500</v>
      </c>
      <c r="H25" s="184">
        <f t="shared" si="9"/>
        <v>500</v>
      </c>
      <c r="I25" s="1">
        <f t="shared" si="10"/>
        <v>300</v>
      </c>
    </row>
    <row r="26" spans="1:12">
      <c r="A26" s="20" t="s">
        <v>620</v>
      </c>
      <c r="B26" s="1" t="s">
        <v>609</v>
      </c>
      <c r="C26" s="20">
        <v>6500</v>
      </c>
      <c r="D26" s="184">
        <f t="shared" si="6"/>
        <v>0</v>
      </c>
      <c r="E26" s="184" t="str">
        <f t="shared" si="5"/>
        <v>100</v>
      </c>
      <c r="F26" s="184">
        <f t="shared" si="7"/>
        <v>1300</v>
      </c>
      <c r="G26" s="184" t="str">
        <f t="shared" si="8"/>
        <v>0</v>
      </c>
      <c r="H26" s="184">
        <f t="shared" si="9"/>
        <v>650</v>
      </c>
      <c r="I26" s="1">
        <f t="shared" si="10"/>
        <v>350</v>
      </c>
    </row>
    <row r="27" spans="1:12">
      <c r="A27" s="20" t="s">
        <v>621</v>
      </c>
      <c r="B27" s="1" t="s">
        <v>611</v>
      </c>
      <c r="C27" s="20">
        <v>7000</v>
      </c>
      <c r="D27" s="184">
        <f t="shared" si="6"/>
        <v>7300</v>
      </c>
      <c r="E27" s="184" t="str">
        <f t="shared" si="5"/>
        <v>100</v>
      </c>
      <c r="F27" s="184">
        <f t="shared" si="7"/>
        <v>0</v>
      </c>
      <c r="G27" s="184" t="str">
        <f t="shared" si="8"/>
        <v>0</v>
      </c>
      <c r="H27" s="184">
        <f t="shared" si="9"/>
        <v>700</v>
      </c>
      <c r="I27" s="1">
        <f t="shared" si="10"/>
        <v>450</v>
      </c>
    </row>
    <row r="28" spans="1:12">
      <c r="A28" s="20" t="s">
        <v>622</v>
      </c>
      <c r="B28" s="1" t="s">
        <v>613</v>
      </c>
      <c r="C28" s="20">
        <v>7500</v>
      </c>
      <c r="D28" s="184">
        <f t="shared" si="6"/>
        <v>0</v>
      </c>
      <c r="E28" s="184" t="str">
        <f t="shared" si="5"/>
        <v>100</v>
      </c>
      <c r="F28" s="184">
        <f t="shared" si="7"/>
        <v>0</v>
      </c>
      <c r="G28" s="184" t="str">
        <f t="shared" si="8"/>
        <v>0</v>
      </c>
      <c r="H28" s="184">
        <f t="shared" si="9"/>
        <v>750</v>
      </c>
      <c r="I28" s="1">
        <f t="shared" si="10"/>
        <v>450</v>
      </c>
    </row>
    <row r="29" spans="1:12">
      <c r="A29" s="20" t="s">
        <v>623</v>
      </c>
      <c r="B29" s="1" t="s">
        <v>607</v>
      </c>
      <c r="C29" s="20">
        <v>8000</v>
      </c>
      <c r="D29" s="184">
        <f t="shared" si="6"/>
        <v>0</v>
      </c>
      <c r="E29" s="184" t="str">
        <f t="shared" si="5"/>
        <v>100</v>
      </c>
      <c r="F29" s="184">
        <f t="shared" si="7"/>
        <v>0</v>
      </c>
      <c r="G29" s="184" t="str">
        <f t="shared" si="8"/>
        <v>0</v>
      </c>
      <c r="H29" s="184">
        <f t="shared" si="9"/>
        <v>1600</v>
      </c>
      <c r="I29" s="1">
        <f t="shared" si="10"/>
        <v>300</v>
      </c>
    </row>
    <row r="30" spans="1:12">
      <c r="A30" s="20" t="s">
        <v>624</v>
      </c>
      <c r="B30" s="1" t="s">
        <v>609</v>
      </c>
      <c r="C30" s="20">
        <v>8500</v>
      </c>
      <c r="D30" s="184">
        <f t="shared" si="6"/>
        <v>0</v>
      </c>
      <c r="E30" s="184" t="str">
        <f t="shared" si="5"/>
        <v>100</v>
      </c>
      <c r="F30" s="184">
        <f t="shared" si="7"/>
        <v>1700</v>
      </c>
      <c r="G30" s="184" t="str">
        <f t="shared" si="8"/>
        <v>0</v>
      </c>
      <c r="H30" s="184">
        <f t="shared" si="9"/>
        <v>850</v>
      </c>
      <c r="I30" s="1">
        <f t="shared" si="10"/>
        <v>350</v>
      </c>
    </row>
    <row r="31" spans="1:12">
      <c r="A31" s="20" t="s">
        <v>625</v>
      </c>
      <c r="B31" s="1" t="s">
        <v>611</v>
      </c>
      <c r="C31" s="20">
        <v>2800</v>
      </c>
      <c r="D31" s="184">
        <f t="shared" si="6"/>
        <v>3100</v>
      </c>
      <c r="E31" s="184" t="str">
        <f t="shared" si="5"/>
        <v>500</v>
      </c>
      <c r="F31" s="184">
        <f t="shared" si="7"/>
        <v>0</v>
      </c>
      <c r="G31" s="184" t="str">
        <f t="shared" si="8"/>
        <v>0</v>
      </c>
      <c r="H31" s="184">
        <f t="shared" si="9"/>
        <v>280</v>
      </c>
      <c r="I31" s="1">
        <f t="shared" si="10"/>
        <v>450</v>
      </c>
    </row>
    <row r="32" spans="1:12">
      <c r="A32" s="20" t="s">
        <v>626</v>
      </c>
      <c r="B32" s="1" t="s">
        <v>613</v>
      </c>
      <c r="C32" s="20">
        <v>9500</v>
      </c>
      <c r="D32" s="184">
        <f t="shared" si="6"/>
        <v>0</v>
      </c>
      <c r="E32" s="184" t="str">
        <f t="shared" si="5"/>
        <v>100</v>
      </c>
      <c r="F32" s="184">
        <f t="shared" si="7"/>
        <v>0</v>
      </c>
      <c r="G32" s="184" t="str">
        <f t="shared" si="8"/>
        <v>0</v>
      </c>
      <c r="H32" s="184">
        <f t="shared" si="9"/>
        <v>950</v>
      </c>
      <c r="I32" s="1">
        <f t="shared" si="10"/>
        <v>450</v>
      </c>
    </row>
    <row r="33" spans="1:9">
      <c r="A33" s="20" t="s">
        <v>627</v>
      </c>
      <c r="B33" s="1" t="s">
        <v>607</v>
      </c>
      <c r="C33" s="20">
        <v>10000</v>
      </c>
      <c r="D33" s="184">
        <f t="shared" si="6"/>
        <v>0</v>
      </c>
      <c r="E33" s="184" t="str">
        <f t="shared" si="5"/>
        <v>100</v>
      </c>
      <c r="F33" s="184">
        <f t="shared" si="7"/>
        <v>0</v>
      </c>
      <c r="G33" s="184" t="str">
        <f t="shared" si="8"/>
        <v>0</v>
      </c>
      <c r="H33" s="184">
        <f t="shared" si="9"/>
        <v>2000</v>
      </c>
      <c r="I33" s="1">
        <f t="shared" si="10"/>
        <v>300</v>
      </c>
    </row>
    <row r="34" spans="1:9">
      <c r="A34" s="20" t="s">
        <v>628</v>
      </c>
      <c r="B34" s="1" t="s">
        <v>609</v>
      </c>
      <c r="C34" s="20">
        <v>10500</v>
      </c>
      <c r="D34" s="184">
        <f t="shared" si="6"/>
        <v>0</v>
      </c>
      <c r="E34" s="184" t="str">
        <f t="shared" si="5"/>
        <v>100</v>
      </c>
      <c r="F34" s="184">
        <f t="shared" si="7"/>
        <v>2100</v>
      </c>
      <c r="G34" s="184" t="str">
        <f t="shared" si="8"/>
        <v>0</v>
      </c>
      <c r="H34" s="184">
        <f t="shared" si="9"/>
        <v>1050</v>
      </c>
      <c r="I34" s="1">
        <f t="shared" si="10"/>
        <v>350</v>
      </c>
    </row>
    <row r="35" spans="1:9">
      <c r="A35" s="20" t="s">
        <v>629</v>
      </c>
      <c r="B35" s="1" t="s">
        <v>611</v>
      </c>
      <c r="C35" s="20">
        <v>11000</v>
      </c>
      <c r="D35" s="184">
        <f t="shared" si="6"/>
        <v>11300</v>
      </c>
      <c r="E35" s="184" t="str">
        <f t="shared" si="5"/>
        <v>100</v>
      </c>
      <c r="F35" s="184">
        <f t="shared" si="7"/>
        <v>0</v>
      </c>
      <c r="G35" s="184" t="str">
        <f t="shared" si="8"/>
        <v>0</v>
      </c>
      <c r="H35" s="184">
        <f t="shared" si="9"/>
        <v>1100</v>
      </c>
      <c r="I35" s="1">
        <f t="shared" si="10"/>
        <v>450</v>
      </c>
    </row>
    <row r="36" spans="1:9">
      <c r="A36" s="20" t="s">
        <v>630</v>
      </c>
      <c r="B36" s="1" t="s">
        <v>607</v>
      </c>
      <c r="C36" s="20">
        <v>11500</v>
      </c>
      <c r="D36" s="184">
        <f t="shared" si="6"/>
        <v>0</v>
      </c>
      <c r="E36" s="184" t="str">
        <f t="shared" si="5"/>
        <v>100</v>
      </c>
      <c r="F36" s="184">
        <f t="shared" si="7"/>
        <v>0</v>
      </c>
      <c r="G36" s="184" t="str">
        <f t="shared" si="8"/>
        <v>0</v>
      </c>
      <c r="H36" s="184">
        <f>+IF(AND(B36=$B$17,B35=$B$19),C36*20%,C36*10%)</f>
        <v>2300</v>
      </c>
      <c r="I36" s="1">
        <f t="shared" si="10"/>
        <v>300</v>
      </c>
    </row>
    <row r="39" spans="1:9">
      <c r="A39" s="100" t="s">
        <v>631</v>
      </c>
      <c r="B39" s="100" t="s">
        <v>632</v>
      </c>
      <c r="C39" s="100" t="s">
        <v>633</v>
      </c>
      <c r="D39" s="100" t="s">
        <v>634</v>
      </c>
      <c r="E39" s="100" t="s">
        <v>635</v>
      </c>
    </row>
    <row r="40" spans="1:9">
      <c r="A40" s="20" t="s">
        <v>636</v>
      </c>
      <c r="B40" s="20">
        <v>40</v>
      </c>
      <c r="C40" s="20">
        <v>70</v>
      </c>
      <c r="D40" s="1" t="str">
        <f t="array" ref="D40">+IF(AND(B40:C40&gt;=80),"CONTRATADO","INTENTELO EL PROX MES")</f>
        <v>INTENTELO EL PROX MES</v>
      </c>
      <c r="E40" s="1" t="str">
        <f>+IF(OR(B40&gt;=80,C40&gt;=80),"CONTRATADO","INTENTELO EL PROX MES")</f>
        <v>INTENTELO EL PROX MES</v>
      </c>
    </row>
    <row r="41" spans="1:9">
      <c r="A41" s="20" t="s">
        <v>637</v>
      </c>
      <c r="B41" s="20">
        <v>45</v>
      </c>
      <c r="C41" s="20">
        <v>72</v>
      </c>
      <c r="D41" s="1" t="str">
        <f t="array" ref="D41">+IF(AND(B41:C41&gt;=80),"CONTRATADO","INTENTELO EL PROX MES")</f>
        <v>INTENTELO EL PROX MES</v>
      </c>
      <c r="E41" s="1" t="str">
        <f t="shared" ref="E41:E49" si="11">+IF(OR(B41&gt;=80,C41&gt;=80),"CONTRATADO","INTENTELO EL PROX MES")</f>
        <v>INTENTELO EL PROX MES</v>
      </c>
    </row>
    <row r="42" spans="1:9">
      <c r="A42" s="20" t="s">
        <v>638</v>
      </c>
      <c r="B42" s="20">
        <v>83</v>
      </c>
      <c r="C42" s="20">
        <v>90</v>
      </c>
      <c r="D42" s="1" t="str">
        <f t="array" ref="D42">+IF(AND(B42:C42&gt;=80),"CONTRATADO","INTENTELO EL PROX MES")</f>
        <v>CONTRATADO</v>
      </c>
      <c r="E42" s="1" t="str">
        <f t="shared" si="11"/>
        <v>CONTRATADO</v>
      </c>
    </row>
    <row r="43" spans="1:9">
      <c r="A43" s="20" t="s">
        <v>639</v>
      </c>
      <c r="B43" s="20">
        <v>55</v>
      </c>
      <c r="C43" s="20">
        <v>76</v>
      </c>
      <c r="D43" s="1" t="str">
        <f t="array" ref="D43">+IF(AND(B43:C43&gt;=80),"CONTRATADO","INTENTELO EL PROX MES")</f>
        <v>INTENTELO EL PROX MES</v>
      </c>
      <c r="E43" s="1" t="str">
        <f t="shared" si="11"/>
        <v>INTENTELO EL PROX MES</v>
      </c>
    </row>
    <row r="44" spans="1:9">
      <c r="A44" s="20" t="s">
        <v>640</v>
      </c>
      <c r="B44" s="20">
        <v>60</v>
      </c>
      <c r="C44" s="20">
        <v>78</v>
      </c>
      <c r="D44" s="1" t="str">
        <f t="array" ref="D44">+IF(AND(B44:C44&gt;=80),"CONTRATADO","INTENTELO EL PROX MES")</f>
        <v>INTENTELO EL PROX MES</v>
      </c>
      <c r="E44" s="1" t="str">
        <f t="shared" si="11"/>
        <v>INTENTELO EL PROX MES</v>
      </c>
    </row>
    <row r="45" spans="1:9">
      <c r="A45" s="20" t="s">
        <v>641</v>
      </c>
      <c r="B45" s="20">
        <v>65</v>
      </c>
      <c r="C45" s="20">
        <v>80</v>
      </c>
      <c r="D45" s="1" t="str">
        <f t="array" ref="D45">+IF(AND(B45:C45&gt;=80),"CONTRATADO","INTENTELO EL PROX MES")</f>
        <v>INTENTELO EL PROX MES</v>
      </c>
      <c r="E45" s="1" t="str">
        <f t="shared" si="11"/>
        <v>CONTRATADO</v>
      </c>
    </row>
    <row r="46" spans="1:9">
      <c r="A46" s="20" t="s">
        <v>642</v>
      </c>
      <c r="B46" s="20">
        <v>87</v>
      </c>
      <c r="C46" s="20">
        <v>82</v>
      </c>
      <c r="D46" s="1" t="str">
        <f t="array" ref="D46">+IF(AND(B46:C46&gt;=80),"CONTRATADO","INTENTELO EL PROX MES")</f>
        <v>CONTRATADO</v>
      </c>
      <c r="E46" s="1" t="str">
        <f t="shared" si="11"/>
        <v>CONTRATADO</v>
      </c>
    </row>
    <row r="47" spans="1:9">
      <c r="A47" s="20" t="s">
        <v>643</v>
      </c>
      <c r="B47" s="20">
        <v>75</v>
      </c>
      <c r="C47" s="20">
        <v>50</v>
      </c>
      <c r="D47" s="1" t="str">
        <f t="array" ref="D47">+IF(AND(B47:C47&gt;=80),"CONTRATADO","INTENTELO EL PROX MES")</f>
        <v>INTENTELO EL PROX MES</v>
      </c>
      <c r="E47" s="1" t="str">
        <f t="shared" si="11"/>
        <v>INTENTELO EL PROX MES</v>
      </c>
    </row>
    <row r="48" spans="1:9">
      <c r="A48" s="20" t="s">
        <v>644</v>
      </c>
      <c r="B48" s="20">
        <v>80</v>
      </c>
      <c r="C48" s="20">
        <v>78</v>
      </c>
      <c r="D48" s="1" t="str">
        <f t="array" ref="D48">+IF(AND(B48:C48&gt;=80),"CONTRATADO","INTENTELO EL PROX MES")</f>
        <v>INTENTELO EL PROX MES</v>
      </c>
      <c r="E48" s="1" t="str">
        <f t="shared" si="11"/>
        <v>CONTRATADO</v>
      </c>
    </row>
    <row r="49" spans="1:5">
      <c r="A49" s="20" t="s">
        <v>645</v>
      </c>
      <c r="B49" s="20">
        <v>85</v>
      </c>
      <c r="C49" s="20">
        <v>88</v>
      </c>
      <c r="D49" s="1" t="str">
        <f t="array" ref="D49">+IF(AND(B49:C49&gt;=80),"CONTRATADO","INTENTELO EL PROX MES")</f>
        <v>CONTRATADO</v>
      </c>
      <c r="E49" s="1" t="str">
        <f t="shared" si="11"/>
        <v>CONTRATADO</v>
      </c>
    </row>
  </sheetData>
  <phoneticPr fontId="57" type="noConversion"/>
  <conditionalFormatting sqref="D17:D36">
    <cfRule type="cellIs" dxfId="7" priority="4" operator="between">
      <formula>2825</formula>
      <formula>8475</formula>
    </cfRule>
  </conditionalFormatting>
  <conditionalFormatting sqref="D40:D49">
    <cfRule type="containsText" dxfId="6" priority="6" operator="containsText" text="APROBADO">
      <formula>NOT(ISERROR(SEARCH("APROBADO",D40)))</formula>
    </cfRule>
    <cfRule type="containsText" dxfId="5" priority="7" operator="containsText" text="INTENTELO EL PROX MES">
      <formula>NOT(ISERROR(SEARCH("INTENTELO EL PROX MES",D40)))</formula>
    </cfRule>
  </conditionalFormatting>
  <conditionalFormatting sqref="E17:E36">
    <cfRule type="containsText" dxfId="4" priority="2" operator="containsText" text="500">
      <formula>NOT(ISERROR(SEARCH("500",E17)))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{D476D692-2549-4B3A-9945-A9B10F10443E}</x14:id>
        </ext>
      </extLst>
    </cfRule>
    <cfRule type="containsText" dxfId="3" priority="11" operator="containsText" text="500">
      <formula>NOT(ISERROR(SEARCH("500",E17)))</formula>
    </cfRule>
  </conditionalFormatting>
  <conditionalFormatting sqref="E40:E49">
    <cfRule type="containsText" dxfId="2" priority="5" operator="containsText" text="INTENTELO EL PROX MES">
      <formula>NOT(ISERROR(SEARCH("INTENTELO EL PROX MES",E40)))</formula>
    </cfRule>
  </conditionalFormatting>
  <conditionalFormatting sqref="F2:F13">
    <cfRule type="containsText" dxfId="1" priority="12" operator="containsText" text="APROBADO">
      <formula>NOT(ISERROR(SEARCH("APROBADO",F2)))</formula>
    </cfRule>
    <cfRule type="containsText" dxfId="0" priority="13" operator="containsText" text="REPROBADO">
      <formula>NOT(ISERROR(SEARCH("REPROBADO",F2)))</formula>
    </cfRule>
  </conditionalFormatting>
  <conditionalFormatting sqref="G17:G3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{FBD53B1B-B6B5-4392-A4FC-91C1CD0FDC08}</x14:id>
        </ext>
      </extLst>
    </cfRule>
  </conditionalFormatting>
  <conditionalFormatting sqref="H2:H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6D692-2549-4B3A-9945-A9B10F104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E17:E36</xm:sqref>
        </x14:conditionalFormatting>
        <x14:conditionalFormatting xmlns:xm="http://schemas.microsoft.com/office/excel/2006/main">
          <x14:cfRule type="dataBar" id="{FBD53B1B-B6B5-4392-A4FC-91C1CD0FDC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G17:G36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MENU</vt:lpstr>
      <vt:lpstr>ERROR EN LOS DATOS</vt:lpstr>
      <vt:lpstr>FUNCIONES</vt:lpstr>
      <vt:lpstr>TIPOS DE FUNCIONES</vt:lpstr>
      <vt:lpstr>CALCULO HORAS TRAB</vt:lpstr>
      <vt:lpstr>Resuelva</vt:lpstr>
      <vt:lpstr>FUNCION FECHA HOY</vt:lpstr>
      <vt:lpstr>FUNCION FECHA DIAS1</vt:lpstr>
      <vt:lpstr>PRACTICA FUNCION FECHA</vt:lpstr>
      <vt:lpstr>FUNCION MAT_EST</vt:lpstr>
      <vt:lpstr>FUNCION MAT_EST (2)</vt:lpstr>
      <vt:lpstr>FUNCION MAT_EST (3)</vt:lpstr>
      <vt:lpstr>FUNCION MAT_EST (4)</vt:lpstr>
      <vt:lpstr>FUNCION MATEMATICA</vt:lpstr>
      <vt:lpstr>FUNCION ESTADISTICA</vt:lpstr>
      <vt:lpstr>PRACTICA FUNCION M Y E</vt:lpstr>
      <vt:lpstr>FUNCION TEXTO</vt:lpstr>
      <vt:lpstr>PRACTICA FUNCION TEXTO</vt:lpstr>
      <vt:lpstr>FUNCION LOGICA</vt:lpstr>
      <vt:lpstr>PRACTICA FUNCION LOGICA</vt:lpstr>
      <vt:lpstr>'ERROR EN LOS DATOS'!_Toc229936408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2026-04-26T22:22:17Z</dcterms:modified>
</cp:coreProperties>
</file>