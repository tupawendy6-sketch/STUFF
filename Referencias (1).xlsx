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te\Downloads\"/>
    </mc:Choice>
  </mc:AlternateContent>
  <xr:revisionPtr revIDLastSave="0" documentId="13_ncr:1_{E48AB740-3321-44F8-B1A3-7F62EA3BE681}" xr6:coauthVersionLast="47" xr6:coauthVersionMax="47" xr10:uidLastSave="{00000000-0000-0000-0000-000000000000}"/>
  <bookViews>
    <workbookView xWindow="-120" yWindow="-120" windowWidth="20730" windowHeight="11160" tabRatio="622" activeTab="1" xr2:uid="{00000000-000D-0000-FFFF-FFFF00000000}"/>
  </bookViews>
  <sheets>
    <sheet name="Portada" sheetId="8" r:id="rId1"/>
    <sheet name="Inicio" sheetId="7" r:id="rId2"/>
    <sheet name="Días de Vacaciones" sheetId="4" r:id="rId3"/>
    <sheet name="Comisiones de Ventas" sheetId="3" r:id="rId4"/>
    <sheet name="Precios de Paquetes" sheetId="5" r:id="rId5"/>
    <sheet name="Tipos de Cambio" sheetId="2" r:id="rId6"/>
    <sheet name="Areas" sheetId="1" r:id="rId7"/>
    <sheet name="Tarjetas de Truco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" l="1"/>
  <c r="C15" i="1"/>
  <c r="C14" i="1"/>
  <c r="C13" i="1"/>
  <c r="C12" i="1"/>
  <c r="G11" i="1"/>
  <c r="F11" i="1"/>
  <c r="E11" i="1"/>
  <c r="D11" i="1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I13" i="1" l="1"/>
  <c r="I14" i="1"/>
  <c r="I15" i="1"/>
  <c r="I16" i="1"/>
  <c r="I12" i="1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G41" i="3" l="1"/>
  <c r="G32" i="3"/>
  <c r="G29" i="3"/>
  <c r="G40" i="3"/>
  <c r="G37" i="3"/>
  <c r="G34" i="3"/>
  <c r="G13" i="3"/>
  <c r="G57" i="3"/>
  <c r="G45" i="3"/>
  <c r="G46" i="3"/>
  <c r="G61" i="3"/>
  <c r="G56" i="3"/>
  <c r="G38" i="3"/>
  <c r="G48" i="3"/>
  <c r="G33" i="3"/>
  <c r="G59" i="3"/>
  <c r="G50" i="3"/>
  <c r="G53" i="3"/>
  <c r="G28" i="3"/>
  <c r="G42" i="3"/>
  <c r="G27" i="3"/>
  <c r="G20" i="3"/>
  <c r="G30" i="3"/>
  <c r="G54" i="3"/>
  <c r="G24" i="3"/>
  <c r="G15" i="3"/>
  <c r="G18" i="3"/>
  <c r="G23" i="3"/>
  <c r="G22" i="3"/>
  <c r="G21" i="3"/>
  <c r="G44" i="3"/>
  <c r="G58" i="3"/>
  <c r="G49" i="3"/>
  <c r="G25" i="3"/>
  <c r="G31" i="3"/>
  <c r="G19" i="3"/>
  <c r="G43" i="3"/>
  <c r="G52" i="3"/>
  <c r="G14" i="3"/>
  <c r="G51" i="3"/>
  <c r="G35" i="3"/>
  <c r="G55" i="3"/>
  <c r="G39" i="3"/>
  <c r="G47" i="3"/>
  <c r="G11" i="3"/>
  <c r="G24" i="5"/>
  <c r="G20" i="2"/>
  <c r="G13" i="2"/>
  <c r="G31" i="2"/>
  <c r="G39" i="2"/>
  <c r="H12" i="1"/>
  <c r="G22" i="2"/>
  <c r="G44" i="2"/>
  <c r="G10" i="2"/>
  <c r="G32" i="2"/>
  <c r="G24" i="2"/>
  <c r="G12" i="2"/>
  <c r="G36" i="2"/>
  <c r="G40" i="2"/>
  <c r="G35" i="2"/>
  <c r="G16" i="2"/>
  <c r="G15" i="2"/>
  <c r="G26" i="2"/>
  <c r="G34" i="2"/>
  <c r="G42" i="2"/>
  <c r="G11" i="2"/>
  <c r="G23" i="2"/>
  <c r="G41" i="2"/>
  <c r="G28" i="2"/>
  <c r="G38" i="2"/>
  <c r="G21" i="2"/>
  <c r="G37" i="2"/>
  <c r="G19" i="2"/>
  <c r="G30" i="2"/>
  <c r="G17" i="2"/>
  <c r="G14" i="2"/>
  <c r="G43" i="2"/>
  <c r="G27" i="2"/>
  <c r="G18" i="2"/>
  <c r="G33" i="2"/>
  <c r="G29" i="2"/>
  <c r="G25" i="2"/>
  <c r="G18" i="5"/>
  <c r="G42" i="5"/>
  <c r="G11" i="5"/>
  <c r="G46" i="5"/>
  <c r="G16" i="5"/>
  <c r="G26" i="5"/>
  <c r="G28" i="5"/>
  <c r="G27" i="5"/>
  <c r="G19" i="5"/>
  <c r="G39" i="5"/>
  <c r="G10" i="5"/>
  <c r="G38" i="5"/>
  <c r="G36" i="5"/>
  <c r="G15" i="5"/>
  <c r="G23" i="5"/>
  <c r="G47" i="5"/>
  <c r="G34" i="5"/>
  <c r="G21" i="5"/>
  <c r="G14" i="5"/>
  <c r="G29" i="5"/>
  <c r="G44" i="5"/>
  <c r="G33" i="5"/>
  <c r="G17" i="5"/>
  <c r="G12" i="5"/>
  <c r="G32" i="5"/>
  <c r="G37" i="5"/>
  <c r="G25" i="5"/>
  <c r="G40" i="5"/>
  <c r="G45" i="5"/>
  <c r="G20" i="5"/>
  <c r="G35" i="5"/>
  <c r="G30" i="5"/>
  <c r="G22" i="5"/>
  <c r="G31" i="5"/>
  <c r="G43" i="5"/>
  <c r="G41" i="5"/>
  <c r="G13" i="5"/>
  <c r="G12" i="3"/>
  <c r="G9" i="5"/>
  <c r="G17" i="3"/>
  <c r="G60" i="3"/>
  <c r="G36" i="3"/>
  <c r="G16" i="3"/>
  <c r="G62" i="3"/>
  <c r="G26" i="3"/>
  <c r="H13" i="1" l="1"/>
  <c r="H14" i="1" l="1"/>
  <c r="H15" i="1" l="1"/>
  <c r="H16" i="1"/>
</calcChain>
</file>

<file path=xl/sharedStrings.xml><?xml version="1.0" encoding="utf-8"?>
<sst xmlns="http://schemas.openxmlformats.org/spreadsheetml/2006/main" count="725" uniqueCount="421">
  <si>
    <t>AR192219</t>
  </si>
  <si>
    <t>Soluciones Humanas</t>
  </si>
  <si>
    <t>AR192220</t>
  </si>
  <si>
    <t>Desarrollo de Capital Humano</t>
  </si>
  <si>
    <t>AR192221</t>
  </si>
  <si>
    <t>Talento Integral</t>
  </si>
  <si>
    <t>AR192222</t>
  </si>
  <si>
    <t>AR192223</t>
  </si>
  <si>
    <t>Capital Subcontratado</t>
  </si>
  <si>
    <t>AR192224</t>
  </si>
  <si>
    <t>AR192225</t>
  </si>
  <si>
    <t>AR192226</t>
  </si>
  <si>
    <t>Rámirez y Asociados</t>
  </si>
  <si>
    <t>AR192227</t>
  </si>
  <si>
    <t>AR192228</t>
  </si>
  <si>
    <t>AR192229</t>
  </si>
  <si>
    <t>AR192230</t>
  </si>
  <si>
    <t>AR192231</t>
  </si>
  <si>
    <t>AR192232</t>
  </si>
  <si>
    <t>AR192233</t>
  </si>
  <si>
    <t>AR192234</t>
  </si>
  <si>
    <t>AR192235</t>
  </si>
  <si>
    <t>AR192236</t>
  </si>
  <si>
    <t>AR192237</t>
  </si>
  <si>
    <t>AR192238</t>
  </si>
  <si>
    <t>AR192239</t>
  </si>
  <si>
    <t>AR192240</t>
  </si>
  <si>
    <t>AR192241</t>
  </si>
  <si>
    <t>AR192242</t>
  </si>
  <si>
    <t>AR192243</t>
  </si>
  <si>
    <t>AR192244</t>
  </si>
  <si>
    <t>AR192245</t>
  </si>
  <si>
    <t>AR192246</t>
  </si>
  <si>
    <t>AR192247</t>
  </si>
  <si>
    <t>AR192248</t>
  </si>
  <si>
    <t>AR192249</t>
  </si>
  <si>
    <t>AR192250</t>
  </si>
  <si>
    <t>AR192251</t>
  </si>
  <si>
    <t>AR192252</t>
  </si>
  <si>
    <t>AR192253</t>
  </si>
  <si>
    <t>AR192254</t>
  </si>
  <si>
    <t>AR192255</t>
  </si>
  <si>
    <t>AR192256</t>
  </si>
  <si>
    <t>AR192257</t>
  </si>
  <si>
    <t>AR192258</t>
  </si>
  <si>
    <t>AR192259</t>
  </si>
  <si>
    <t>AR192260</t>
  </si>
  <si>
    <t>AR192261</t>
  </si>
  <si>
    <t>AR192262</t>
  </si>
  <si>
    <t>AR192263</t>
  </si>
  <si>
    <t>AR192264</t>
  </si>
  <si>
    <t>AR192265</t>
  </si>
  <si>
    <t>AR192266</t>
  </si>
  <si>
    <t>AR192267</t>
  </si>
  <si>
    <t>AR192268</t>
  </si>
  <si>
    <t>AR192269</t>
  </si>
  <si>
    <t>AR192270</t>
  </si>
  <si>
    <t>AR192271</t>
  </si>
  <si>
    <t>AR192272</t>
  </si>
  <si>
    <t>AR192273</t>
  </si>
  <si>
    <t>AR192274</t>
  </si>
  <si>
    <t>AR192275</t>
  </si>
  <si>
    <t>AR192276</t>
  </si>
  <si>
    <t>AR192277</t>
  </si>
  <si>
    <t>AR192278</t>
  </si>
  <si>
    <t>AR192279</t>
  </si>
  <si>
    <t>AR192280</t>
  </si>
  <si>
    <t>AR192281</t>
  </si>
  <si>
    <t>AR192282</t>
  </si>
  <si>
    <t>AR192283</t>
  </si>
  <si>
    <t>AR192284</t>
  </si>
  <si>
    <t>AR192285</t>
  </si>
  <si>
    <t>AR192286</t>
  </si>
  <si>
    <t>AR192287</t>
  </si>
  <si>
    <t>AR192288</t>
  </si>
  <si>
    <t>AR192289</t>
  </si>
  <si>
    <t>AR192290</t>
  </si>
  <si>
    <t>AR192291</t>
  </si>
  <si>
    <t>AR192292</t>
  </si>
  <si>
    <t>AR192293</t>
  </si>
  <si>
    <t>AR192294</t>
  </si>
  <si>
    <t>AR192295</t>
  </si>
  <si>
    <t>AR192296</t>
  </si>
  <si>
    <t>AR192297</t>
  </si>
  <si>
    <t>AR192298</t>
  </si>
  <si>
    <t>AR192299</t>
  </si>
  <si>
    <t>AR192300</t>
  </si>
  <si>
    <t>AR192301</t>
  </si>
  <si>
    <t>AR192302</t>
  </si>
  <si>
    <t>AR192303</t>
  </si>
  <si>
    <t>AR192304</t>
  </si>
  <si>
    <t>AR192305</t>
  </si>
  <si>
    <t>AR192306</t>
  </si>
  <si>
    <t>AR192307</t>
  </si>
  <si>
    <t>AR192308</t>
  </si>
  <si>
    <t>AR192309</t>
  </si>
  <si>
    <t>AR192310</t>
  </si>
  <si>
    <t>AR192311</t>
  </si>
  <si>
    <t>AR192312</t>
  </si>
  <si>
    <t>AR192313</t>
  </si>
  <si>
    <t>AR192314</t>
  </si>
  <si>
    <t>AR192315</t>
  </si>
  <si>
    <t>AR192316</t>
  </si>
  <si>
    <t>AR192317</t>
  </si>
  <si>
    <t>AR192318</t>
  </si>
  <si>
    <t>AR192319</t>
  </si>
  <si>
    <t>AR192320</t>
  </si>
  <si>
    <t>AR192321</t>
  </si>
  <si>
    <t>AR192322</t>
  </si>
  <si>
    <t>AR192323</t>
  </si>
  <si>
    <t>AR192324</t>
  </si>
  <si>
    <t>AR192325</t>
  </si>
  <si>
    <t>AR192326</t>
  </si>
  <si>
    <t>AR192327</t>
  </si>
  <si>
    <t>AR192328</t>
  </si>
  <si>
    <t>AR192329</t>
  </si>
  <si>
    <t>AR192330</t>
  </si>
  <si>
    <t>AR192331</t>
  </si>
  <si>
    <t>AR192332</t>
  </si>
  <si>
    <t>AR192333</t>
  </si>
  <si>
    <t>AR192334</t>
  </si>
  <si>
    <t>AR192335</t>
  </si>
  <si>
    <t>AR192336</t>
  </si>
  <si>
    <t>AR192337</t>
  </si>
  <si>
    <t>AR192338</t>
  </si>
  <si>
    <t>AR192339</t>
  </si>
  <si>
    <t>AR192340</t>
  </si>
  <si>
    <t>AR192341</t>
  </si>
  <si>
    <t>AR192342</t>
  </si>
  <si>
    <t>AR192343</t>
  </si>
  <si>
    <t>AR192344</t>
  </si>
  <si>
    <t>AR192345</t>
  </si>
  <si>
    <t>AR192346</t>
  </si>
  <si>
    <t>AR192347</t>
  </si>
  <si>
    <t>AR192348</t>
  </si>
  <si>
    <t>AR192349</t>
  </si>
  <si>
    <t>AR192350</t>
  </si>
  <si>
    <t>AR192351</t>
  </si>
  <si>
    <t>AR192352</t>
  </si>
  <si>
    <t>AR192353</t>
  </si>
  <si>
    <t>AR192354</t>
  </si>
  <si>
    <t>AR192355</t>
  </si>
  <si>
    <t>AR192356</t>
  </si>
  <si>
    <t>AR192357</t>
  </si>
  <si>
    <t>AR192358</t>
  </si>
  <si>
    <t>AR192359</t>
  </si>
  <si>
    <t>AR192360</t>
  </si>
  <si>
    <t>AR192361</t>
  </si>
  <si>
    <t>AR192362</t>
  </si>
  <si>
    <t>AR192363</t>
  </si>
  <si>
    <t>AR192364</t>
  </si>
  <si>
    <t>AR192365</t>
  </si>
  <si>
    <t>AR192366</t>
  </si>
  <si>
    <t>AR192367</t>
  </si>
  <si>
    <t>AR192368</t>
  </si>
  <si>
    <t>AR192369</t>
  </si>
  <si>
    <t>AR192370</t>
  </si>
  <si>
    <t>AR192371</t>
  </si>
  <si>
    <t>AR192372</t>
  </si>
  <si>
    <t>AR192373</t>
  </si>
  <si>
    <t>AR192374</t>
  </si>
  <si>
    <t>AR192375</t>
  </si>
  <si>
    <t>AR192376</t>
  </si>
  <si>
    <t>AR192377</t>
  </si>
  <si>
    <t>AR192378</t>
  </si>
  <si>
    <t>AR192379</t>
  </si>
  <si>
    <t>AR192380</t>
  </si>
  <si>
    <t>AR192381</t>
  </si>
  <si>
    <t>AR192382</t>
  </si>
  <si>
    <t>AR192383</t>
  </si>
  <si>
    <t>AR192384</t>
  </si>
  <si>
    <t>AR192385</t>
  </si>
  <si>
    <t>AR192386</t>
  </si>
  <si>
    <t>AR192387</t>
  </si>
  <si>
    <t>AR192388</t>
  </si>
  <si>
    <t>AR192389</t>
  </si>
  <si>
    <t>AR192390</t>
  </si>
  <si>
    <t>AR192391</t>
  </si>
  <si>
    <t>AR192392</t>
  </si>
  <si>
    <t>AR192393</t>
  </si>
  <si>
    <t>AR192394</t>
  </si>
  <si>
    <t>AR192395</t>
  </si>
  <si>
    <t>AR192396</t>
  </si>
  <si>
    <t>AR192397</t>
  </si>
  <si>
    <t>AR192398</t>
  </si>
  <si>
    <t>AR192399</t>
  </si>
  <si>
    <t>AR192400</t>
  </si>
  <si>
    <t>AR192401</t>
  </si>
  <si>
    <t>AR192402</t>
  </si>
  <si>
    <t>AR192403</t>
  </si>
  <si>
    <t>AR192404</t>
  </si>
  <si>
    <t>AR192405</t>
  </si>
  <si>
    <t>AR192406</t>
  </si>
  <si>
    <t>AR192407</t>
  </si>
  <si>
    <t>AR192408</t>
  </si>
  <si>
    <t>AR192409</t>
  </si>
  <si>
    <t>AR192410</t>
  </si>
  <si>
    <t>AR192411</t>
  </si>
  <si>
    <t>AR192412</t>
  </si>
  <si>
    <t>AR192413</t>
  </si>
  <si>
    <t>AR192414</t>
  </si>
  <si>
    <t>AR192415</t>
  </si>
  <si>
    <t>AR192416</t>
  </si>
  <si>
    <t>AR192417</t>
  </si>
  <si>
    <t>AR192418</t>
  </si>
  <si>
    <t>AR192419</t>
  </si>
  <si>
    <t>AR192420</t>
  </si>
  <si>
    <t>AR192421</t>
  </si>
  <si>
    <t>AR192422</t>
  </si>
  <si>
    <t>AR192423</t>
  </si>
  <si>
    <t>AR192424</t>
  </si>
  <si>
    <t>AR192425</t>
  </si>
  <si>
    <t>AR192426</t>
  </si>
  <si>
    <t>AR192427</t>
  </si>
  <si>
    <t>AR192428</t>
  </si>
  <si>
    <t>AR192429</t>
  </si>
  <si>
    <t>AR192430</t>
  </si>
  <si>
    <t>AR192431</t>
  </si>
  <si>
    <t>AR192432</t>
  </si>
  <si>
    <t>AR192433</t>
  </si>
  <si>
    <t>AR192434</t>
  </si>
  <si>
    <t>AR192435</t>
  </si>
  <si>
    <t>AR192436</t>
  </si>
  <si>
    <t>AR192437</t>
  </si>
  <si>
    <t>AR192438</t>
  </si>
  <si>
    <t>AR192439</t>
  </si>
  <si>
    <t>AR192440</t>
  </si>
  <si>
    <t>AR192441</t>
  </si>
  <si>
    <t>AR192442</t>
  </si>
  <si>
    <t>AR192443</t>
  </si>
  <si>
    <t>AR192444</t>
  </si>
  <si>
    <t>AR192445</t>
  </si>
  <si>
    <t>AR192446</t>
  </si>
  <si>
    <t>AR192447</t>
  </si>
  <si>
    <t>AR192448</t>
  </si>
  <si>
    <t>AR192449</t>
  </si>
  <si>
    <t>AR192450</t>
  </si>
  <si>
    <t>AR192451</t>
  </si>
  <si>
    <t>AR192452</t>
  </si>
  <si>
    <t>AR192453</t>
  </si>
  <si>
    <t>AR192454</t>
  </si>
  <si>
    <t>AR192455</t>
  </si>
  <si>
    <t>AR192456</t>
  </si>
  <si>
    <t>AR192457</t>
  </si>
  <si>
    <t>AR192458</t>
  </si>
  <si>
    <t>AR192459</t>
  </si>
  <si>
    <t>AR192460</t>
  </si>
  <si>
    <t>AR192461</t>
  </si>
  <si>
    <t>AR192462</t>
  </si>
  <si>
    <t>AR192463</t>
  </si>
  <si>
    <t>AR192464</t>
  </si>
  <si>
    <t>AR192465</t>
  </si>
  <si>
    <t>AR192466</t>
  </si>
  <si>
    <t>AR192467</t>
  </si>
  <si>
    <t>AR192468</t>
  </si>
  <si>
    <t>AR192469</t>
  </si>
  <si>
    <t>AR192470</t>
  </si>
  <si>
    <t>AR192471</t>
  </si>
  <si>
    <t>AR192472</t>
  </si>
  <si>
    <t>AR192473</t>
  </si>
  <si>
    <t>AR192474</t>
  </si>
  <si>
    <t>AR192475</t>
  </si>
  <si>
    <t>AR192476</t>
  </si>
  <si>
    <t>AR192477</t>
  </si>
  <si>
    <t>AR192478</t>
  </si>
  <si>
    <t>AR192479</t>
  </si>
  <si>
    <t>AR192480</t>
  </si>
  <si>
    <t>AR192481</t>
  </si>
  <si>
    <t>AR192482</t>
  </si>
  <si>
    <t>AR192483</t>
  </si>
  <si>
    <t>AR192484</t>
  </si>
  <si>
    <t>AR192485</t>
  </si>
  <si>
    <t>AR192486</t>
  </si>
  <si>
    <t>AR192487</t>
  </si>
  <si>
    <t>AR192488</t>
  </si>
  <si>
    <t>AR192489</t>
  </si>
  <si>
    <t>AR192490</t>
  </si>
  <si>
    <t>AR192491</t>
  </si>
  <si>
    <t>AR192492</t>
  </si>
  <si>
    <t>AR192493</t>
  </si>
  <si>
    <t>AR192494</t>
  </si>
  <si>
    <t>AR192495</t>
  </si>
  <si>
    <t>AR192496</t>
  </si>
  <si>
    <t>AR192497</t>
  </si>
  <si>
    <t>AR192498</t>
  </si>
  <si>
    <t>AR192499</t>
  </si>
  <si>
    <t>AR192500</t>
  </si>
  <si>
    <t>AR192501</t>
  </si>
  <si>
    <t>AR192502</t>
  </si>
  <si>
    <t>AR192503</t>
  </si>
  <si>
    <t>AR192504</t>
  </si>
  <si>
    <t>AR192505</t>
  </si>
  <si>
    <t>AR192506</t>
  </si>
  <si>
    <t>AR192507</t>
  </si>
  <si>
    <t>AR192508</t>
  </si>
  <si>
    <t>AR192509</t>
  </si>
  <si>
    <t>AR192510</t>
  </si>
  <si>
    <t>AR192511</t>
  </si>
  <si>
    <t>AR192512</t>
  </si>
  <si>
    <t>AR192513</t>
  </si>
  <si>
    <t>AR192514</t>
  </si>
  <si>
    <t>AR192515</t>
  </si>
  <si>
    <t>AR192516</t>
  </si>
  <si>
    <t>AR192517</t>
  </si>
  <si>
    <t>AR192518</t>
  </si>
  <si>
    <t>AR192519</t>
  </si>
  <si>
    <t>AR192520</t>
  </si>
  <si>
    <t>AR192521</t>
  </si>
  <si>
    <t>AR192522</t>
  </si>
  <si>
    <t>AR192523</t>
  </si>
  <si>
    <t>Total</t>
  </si>
  <si>
    <t>KH-101</t>
  </si>
  <si>
    <t>KH-102</t>
  </si>
  <si>
    <t>KH-103</t>
  </si>
  <si>
    <t>KH-104</t>
  </si>
  <si>
    <t>KH-105</t>
  </si>
  <si>
    <t>KH-106</t>
  </si>
  <si>
    <t>KH-107</t>
  </si>
  <si>
    <t>KH-108</t>
  </si>
  <si>
    <t>KH-109</t>
  </si>
  <si>
    <t>KH-110</t>
  </si>
  <si>
    <t>KH-111</t>
  </si>
  <si>
    <t>KH-112</t>
  </si>
  <si>
    <t>KH-113</t>
  </si>
  <si>
    <t>KH-114</t>
  </si>
  <si>
    <t>KH-115</t>
  </si>
  <si>
    <t>KH-116</t>
  </si>
  <si>
    <t>KH-117</t>
  </si>
  <si>
    <t>KH-118</t>
  </si>
  <si>
    <t>KH-119</t>
  </si>
  <si>
    <t>KH-120</t>
  </si>
  <si>
    <t>KH-121</t>
  </si>
  <si>
    <t>KH-122</t>
  </si>
  <si>
    <t>KH-123</t>
  </si>
  <si>
    <t>KH-124</t>
  </si>
  <si>
    <t>KH-125</t>
  </si>
  <si>
    <t>KH-126</t>
  </si>
  <si>
    <t>KH-127</t>
  </si>
  <si>
    <t>KH-128</t>
  </si>
  <si>
    <t>KH-129</t>
  </si>
  <si>
    <t>KH-130</t>
  </si>
  <si>
    <t>KH-131</t>
  </si>
  <si>
    <t>KH-132</t>
  </si>
  <si>
    <t>KH-133</t>
  </si>
  <si>
    <t>KH-134</t>
  </si>
  <si>
    <t>KH-135</t>
  </si>
  <si>
    <t>KH-136</t>
  </si>
  <si>
    <t>KH-137</t>
  </si>
  <si>
    <t>KH-138</t>
  </si>
  <si>
    <t>KH-139</t>
  </si>
  <si>
    <t>JPY</t>
  </si>
  <si>
    <t>GBP</t>
  </si>
  <si>
    <t>EUR</t>
  </si>
  <si>
    <t>HGX-11045</t>
  </si>
  <si>
    <t>HGX-11046</t>
  </si>
  <si>
    <t>HGX-11047</t>
  </si>
  <si>
    <t>HGX-11048</t>
  </si>
  <si>
    <t>HGX-11049</t>
  </si>
  <si>
    <t>HGX-11050</t>
  </si>
  <si>
    <t>HGX-11051</t>
  </si>
  <si>
    <t>HGX-11052</t>
  </si>
  <si>
    <t>HGX-11053</t>
  </si>
  <si>
    <t>HGX-11054</t>
  </si>
  <si>
    <t>HGX-11055</t>
  </si>
  <si>
    <t>HGX-11056</t>
  </si>
  <si>
    <t>HGX-11057</t>
  </si>
  <si>
    <t>HGX-11058</t>
  </si>
  <si>
    <t>HGX-11059</t>
  </si>
  <si>
    <t>HGX-11060</t>
  </si>
  <si>
    <t>HGX-11061</t>
  </si>
  <si>
    <t>HGX-11062</t>
  </si>
  <si>
    <t>HGX-11063</t>
  </si>
  <si>
    <t>HGX-11064</t>
  </si>
  <si>
    <t>HGX-11065</t>
  </si>
  <si>
    <t>HGX-11066</t>
  </si>
  <si>
    <t>HGX-11067</t>
  </si>
  <si>
    <t>HGX-11068</t>
  </si>
  <si>
    <t>HGX-11069</t>
  </si>
  <si>
    <t>HGX-11070</t>
  </si>
  <si>
    <t>HGX-11071</t>
  </si>
  <si>
    <t>HGX-11072</t>
  </si>
  <si>
    <t>HGX-11073</t>
  </si>
  <si>
    <t>HGX-11074</t>
  </si>
  <si>
    <t>HGX-11075</t>
  </si>
  <si>
    <t>HGX-11076</t>
  </si>
  <si>
    <t>HGX-11077</t>
  </si>
  <si>
    <t>HGX-11078</t>
  </si>
  <si>
    <t>HGX-11079</t>
  </si>
  <si>
    <t>JPY/MXN</t>
  </si>
  <si>
    <t>GBP/MXN</t>
  </si>
  <si>
    <t>EUR/MXN</t>
  </si>
  <si>
    <t>Referencias</t>
  </si>
  <si>
    <t>Hay que practicar referencias hasta que las puedas hacer dormido</t>
  </si>
  <si>
    <t># de Empleado</t>
  </si>
  <si>
    <t>Agencia</t>
  </si>
  <si>
    <t>Fecha de Contratación</t>
  </si>
  <si>
    <t>Día de Vacaciones</t>
  </si>
  <si>
    <t>Fecha</t>
  </si>
  <si>
    <t>Venta</t>
  </si>
  <si>
    <t>Comisión de Venta</t>
  </si>
  <si>
    <t>Comisión de Crédito</t>
  </si>
  <si>
    <t>IVA</t>
  </si>
  <si>
    <t>Comisión Venta</t>
  </si>
  <si>
    <t>Comisión Crédito</t>
  </si>
  <si>
    <t># Orden</t>
  </si>
  <si>
    <t>Gente Atendida</t>
  </si>
  <si>
    <t>Paquete 1</t>
  </si>
  <si>
    <t>Paquete 2</t>
  </si>
  <si>
    <t>Paquete 3</t>
  </si>
  <si>
    <t>Precio Paquete 1</t>
  </si>
  <si>
    <t>Precio Paquete 2</t>
  </si>
  <si>
    <t>Precio Paquete 3</t>
  </si>
  <si>
    <t>Pago Fijo</t>
  </si>
  <si>
    <t>Pago Variable</t>
  </si>
  <si>
    <t>Factura</t>
  </si>
  <si>
    <t>Monto en MXN</t>
  </si>
  <si>
    <t>Tipos de Cambio</t>
  </si>
  <si>
    <t>Largo</t>
  </si>
  <si>
    <t>Ancho</t>
  </si>
  <si>
    <t>Trucos para este capítulo</t>
  </si>
  <si>
    <t>Memorízate esto!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</si>
</sst>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\-&quot;$&quot;#,##0.00"/>
    <numFmt numFmtId="164" formatCode="[$¥-411]#,##0.00;[Red]\-[$¥-411]#,##0.00"/>
    <numFmt numFmtId="165" formatCode="[$£-809]#,##0.00;[Red]\-[$£-809]#,##0.00"/>
    <numFmt numFmtId="166" formatCode="#,##0.00\ [$€-407];[Red]\-#,##0.00\ [$€-407]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Segoe UI Light"/>
      <family val="2"/>
    </font>
    <font>
      <b/>
      <sz val="14"/>
      <color theme="1"/>
      <name val="Calibri"/>
      <family val="2"/>
      <scheme val="minor"/>
    </font>
    <font>
      <sz val="26"/>
      <color theme="1"/>
      <name val="Franklin Gothic Demi Cond"/>
      <family val="2"/>
    </font>
    <font>
      <sz val="16"/>
      <color theme="1"/>
      <name val="Segoe UI Light"/>
      <family val="2"/>
    </font>
    <font>
      <sz val="18"/>
      <color theme="3"/>
      <name val="Calibri Light"/>
      <family val="2"/>
      <scheme val="major"/>
    </font>
    <font>
      <sz val="72"/>
      <color theme="0"/>
      <name val="Franklin Gothic Demi Cond"/>
      <family val="2"/>
    </font>
    <font>
      <sz val="18"/>
      <color theme="0"/>
      <name val="Segoe UI"/>
      <family val="2"/>
    </font>
    <font>
      <sz val="8"/>
      <name val="Calibri"/>
      <family val="2"/>
      <scheme val="minor"/>
    </font>
    <font>
      <sz val="1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227447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9" fillId="0" borderId="0" applyNumberFormat="0" applyFill="0" applyBorder="0" applyAlignment="0" applyProtection="0"/>
  </cellStyleXfs>
  <cellXfs count="25">
    <xf numFmtId="0" fontId="0" fillId="0" borderId="0" xfId="0"/>
    <xf numFmtId="14" fontId="0" fillId="0" borderId="0" xfId="0" applyNumberFormat="1"/>
    <xf numFmtId="2" fontId="4" fillId="3" borderId="0" xfId="2" applyNumberFormat="1" applyFont="1"/>
    <xf numFmtId="0" fontId="0" fillId="0" borderId="0" xfId="0" applyAlignment="1" applyProtection="1">
      <alignment horizontal="center" vertical="center"/>
      <protection hidden="1"/>
    </xf>
    <xf numFmtId="8" fontId="0" fillId="0" borderId="0" xfId="0" applyNumberFormat="1"/>
    <xf numFmtId="8" fontId="4" fillId="3" borderId="0" xfId="2" applyNumberFormat="1" applyFont="1"/>
    <xf numFmtId="0" fontId="2" fillId="5" borderId="0" xfId="1" applyFont="1" applyFill="1"/>
    <xf numFmtId="9" fontId="2" fillId="5" borderId="0" xfId="1" applyNumberFormat="1" applyFont="1" applyFill="1"/>
    <xf numFmtId="3" fontId="0" fillId="0" borderId="0" xfId="0" applyNumberFormat="1"/>
    <xf numFmtId="0" fontId="5" fillId="4" borderId="0" xfId="1" applyFont="1" applyFill="1"/>
    <xf numFmtId="8" fontId="2" fillId="5" borderId="0" xfId="1" applyNumberFormat="1" applyFont="1" applyFill="1"/>
    <xf numFmtId="165" fontId="4" fillId="3" borderId="0" xfId="2" applyNumberFormat="1" applyFont="1"/>
    <xf numFmtId="166" fontId="4" fillId="3" borderId="0" xfId="2" applyNumberFormat="1" applyFont="1"/>
    <xf numFmtId="0" fontId="0" fillId="0" borderId="0" xfId="0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4" borderId="0" xfId="0" applyFill="1"/>
    <xf numFmtId="0" fontId="10" fillId="4" borderId="0" xfId="3" applyFont="1" applyFill="1" applyAlignment="1">
      <alignment horizontal="left" indent="1"/>
    </xf>
    <xf numFmtId="0" fontId="11" fillId="4" borderId="0" xfId="0" applyFont="1" applyFill="1" applyAlignment="1">
      <alignment horizontal="left" wrapText="1"/>
    </xf>
    <xf numFmtId="0" fontId="3" fillId="0" borderId="0" xfId="0" applyFont="1"/>
    <xf numFmtId="0" fontId="13" fillId="3" borderId="0" xfId="2" applyFont="1" applyBorder="1" applyProtection="1"/>
    <xf numFmtId="164" fontId="4" fillId="3" borderId="0" xfId="2" applyNumberFormat="1" applyFont="1"/>
    <xf numFmtId="0" fontId="2" fillId="5" borderId="0" xfId="1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 textRotation="90"/>
    </xf>
  </cellXfs>
  <cellStyles count="4">
    <cellStyle name="60% - Accent4" xfId="2" builtinId="44"/>
    <cellStyle name="Accent2" xfId="1" builtinId="33"/>
    <cellStyle name="Normal" xfId="0" builtinId="0"/>
    <cellStyle name="Title" xfId="3" builtinId="15"/>
  </cellStyles>
  <dxfs count="15">
    <dxf>
      <font>
        <b/>
        <i val="0"/>
        <color theme="0"/>
      </font>
      <fill>
        <patternFill>
          <bgColor theme="9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227447"/>
      <color rgb="FFF4B1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a2capacitacion.com/excel_landing_page.html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17</xdr:col>
      <xdr:colOff>0</xdr:colOff>
      <xdr:row>27</xdr:row>
      <xdr:rowOff>19051</xdr:rowOff>
    </xdr:to>
    <xdr:pic>
      <xdr:nvPicPr>
        <xdr:cNvPr id="2" name="Imagen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8327A-2AA6-4567-B8AE-66CAE9212D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9150"/>
        <a:stretch/>
      </xdr:blipFill>
      <xdr:spPr>
        <a:xfrm>
          <a:off x="0" y="1"/>
          <a:ext cx="12954000" cy="5162550"/>
        </a:xfrm>
        <a:prstGeom prst="rect">
          <a:avLst/>
        </a:prstGeom>
      </xdr:spPr>
    </xdr:pic>
    <xdr:clientData/>
  </xdr:twoCellAnchor>
  <xdr:twoCellAnchor>
    <xdr:from>
      <xdr:col>0</xdr:col>
      <xdr:colOff>561974</xdr:colOff>
      <xdr:row>21</xdr:row>
      <xdr:rowOff>171450</xdr:rowOff>
    </xdr:from>
    <xdr:to>
      <xdr:col>4</xdr:col>
      <xdr:colOff>676275</xdr:colOff>
      <xdr:row>24</xdr:row>
      <xdr:rowOff>133350</xdr:rowOff>
    </xdr:to>
    <xdr:sp macro="" textlink="">
      <xdr:nvSpPr>
        <xdr:cNvPr id="3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3E328A-0B13-4DDA-87CA-8FE7EEE3769C}"/>
            </a:ext>
          </a:extLst>
        </xdr:cNvPr>
        <xdr:cNvSpPr/>
      </xdr:nvSpPr>
      <xdr:spPr>
        <a:xfrm>
          <a:off x="561974" y="4171950"/>
          <a:ext cx="3162301" cy="533400"/>
        </a:xfrm>
        <a:prstGeom prst="round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600" b="1">
              <a:latin typeface="Montserrat" panose="02000505000000020004" pitchFamily="2" charset="0"/>
              <a:cs typeface="Arial" panose="020B0604020202020204" pitchFamily="34" charset="0"/>
            </a:rPr>
            <a:t>Empieza</a:t>
          </a:r>
          <a:r>
            <a:rPr lang="es-MX" sz="1600" b="1" baseline="0">
              <a:latin typeface="Montserrat" panose="02000505000000020004" pitchFamily="2" charset="0"/>
              <a:cs typeface="Arial" panose="020B0604020202020204" pitchFamily="34" charset="0"/>
            </a:rPr>
            <a:t> Gratis Aquí</a:t>
          </a:r>
          <a:endParaRPr lang="es-MX" sz="1600" b="1">
            <a:latin typeface="Montserrat" panose="02000505000000020004" pitchFamily="2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590550</xdr:colOff>
      <xdr:row>6</xdr:row>
      <xdr:rowOff>142875</xdr:rowOff>
    </xdr:from>
    <xdr:to>
      <xdr:col>16</xdr:col>
      <xdr:colOff>190500</xdr:colOff>
      <xdr:row>28</xdr:row>
      <xdr:rowOff>0</xdr:rowOff>
    </xdr:to>
    <xdr:sp macro="" textlink="">
      <xdr:nvSpPr>
        <xdr:cNvPr id="24" name="Background" descr="Background">
          <a:extLst>
            <a:ext uri="{FF2B5EF4-FFF2-40B4-BE49-F238E27FC236}">
              <a16:creationId xmlns:a16="http://schemas.microsoft.com/office/drawing/2014/main" id="{BAB985A9-C377-47C2-BCCB-7542C9F3DA7E}"/>
            </a:ext>
          </a:extLst>
        </xdr:cNvPr>
        <xdr:cNvSpPr/>
      </xdr:nvSpPr>
      <xdr:spPr>
        <a:xfrm>
          <a:off x="8458200" y="1285875"/>
          <a:ext cx="5695950" cy="4076700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 editAs="oneCell">
    <xdr:from>
      <xdr:col>7</xdr:col>
      <xdr:colOff>212698</xdr:colOff>
      <xdr:row>7</xdr:row>
      <xdr:rowOff>69849</xdr:rowOff>
    </xdr:from>
    <xdr:to>
      <xdr:col>15</xdr:col>
      <xdr:colOff>552449</xdr:colOff>
      <xdr:row>9</xdr:row>
      <xdr:rowOff>174691</xdr:rowOff>
    </xdr:to>
    <xdr:sp macro="" textlink="">
      <xdr:nvSpPr>
        <xdr:cNvPr id="25" name="Step" descr="Add numbers like a champ">
          <a:extLst>
            <a:ext uri="{FF2B5EF4-FFF2-40B4-BE49-F238E27FC236}">
              <a16:creationId xmlns:a16="http://schemas.microsoft.com/office/drawing/2014/main" id="{B30F72D4-7033-489A-BE22-BA26461B1CD9}"/>
            </a:ext>
          </a:extLst>
        </xdr:cNvPr>
        <xdr:cNvSpPr txBox="1"/>
      </xdr:nvSpPr>
      <xdr:spPr>
        <a:xfrm>
          <a:off x="8689948" y="1403349"/>
          <a:ext cx="5216551" cy="4858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Días de Vacaciones</a:t>
          </a:r>
        </a:p>
      </xdr:txBody>
    </xdr:sp>
    <xdr:clientData/>
  </xdr:twoCellAnchor>
  <xdr:twoCellAnchor editAs="oneCell">
    <xdr:from>
      <xdr:col>7</xdr:col>
      <xdr:colOff>215874</xdr:colOff>
      <xdr:row>25</xdr:row>
      <xdr:rowOff>20228</xdr:rowOff>
    </xdr:from>
    <xdr:to>
      <xdr:col>15</xdr:col>
      <xdr:colOff>552450</xdr:colOff>
      <xdr:row>25</xdr:row>
      <xdr:rowOff>20228</xdr:rowOff>
    </xdr:to>
    <xdr:cxnSp macro="">
      <xdr:nvCxnSpPr>
        <xdr:cNvPr id="27" name="Bottom line" descr="Decorative line">
          <a:extLst>
            <a:ext uri="{FF2B5EF4-FFF2-40B4-BE49-F238E27FC236}">
              <a16:creationId xmlns:a16="http://schemas.microsoft.com/office/drawing/2014/main" id="{5E2D105F-C118-4B72-BBB1-38D6E13513AB}"/>
            </a:ext>
          </a:extLst>
        </xdr:cNvPr>
        <xdr:cNvCxnSpPr>
          <a:cxnSpLocks/>
        </xdr:cNvCxnSpPr>
      </xdr:nvCxnSpPr>
      <xdr:spPr>
        <a:xfrm>
          <a:off x="8693124" y="4830353"/>
          <a:ext cx="5213376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215874</xdr:colOff>
      <xdr:row>10</xdr:row>
      <xdr:rowOff>531</xdr:rowOff>
    </xdr:from>
    <xdr:to>
      <xdr:col>15</xdr:col>
      <xdr:colOff>552450</xdr:colOff>
      <xdr:row>10</xdr:row>
      <xdr:rowOff>531</xdr:rowOff>
    </xdr:to>
    <xdr:cxnSp macro="">
      <xdr:nvCxnSpPr>
        <xdr:cNvPr id="29" name="Top line" descr="Decorative line">
          <a:extLst>
            <a:ext uri="{FF2B5EF4-FFF2-40B4-BE49-F238E27FC236}">
              <a16:creationId xmlns:a16="http://schemas.microsoft.com/office/drawing/2014/main" id="{18B7ECD4-30E6-4AC9-8C81-E29CD2ABD68F}"/>
            </a:ext>
          </a:extLst>
        </xdr:cNvPr>
        <xdr:cNvCxnSpPr>
          <a:cxnSpLocks/>
        </xdr:cNvCxnSpPr>
      </xdr:nvCxnSpPr>
      <xdr:spPr>
        <a:xfrm>
          <a:off x="8693124" y="1905531"/>
          <a:ext cx="5213376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212697</xdr:colOff>
      <xdr:row>11</xdr:row>
      <xdr:rowOff>183367</xdr:rowOff>
    </xdr:from>
    <xdr:to>
      <xdr:col>15</xdr:col>
      <xdr:colOff>552447</xdr:colOff>
      <xdr:row>14</xdr:row>
      <xdr:rowOff>180952</xdr:rowOff>
    </xdr:to>
    <xdr:grpSp>
      <xdr:nvGrpSpPr>
        <xdr:cNvPr id="9" name="Step1">
          <a:extLst>
            <a:ext uri="{FF2B5EF4-FFF2-40B4-BE49-F238E27FC236}">
              <a16:creationId xmlns:a16="http://schemas.microsoft.com/office/drawing/2014/main" id="{88939072-4B56-4C62-A314-2CB9C0044100}"/>
            </a:ext>
          </a:extLst>
        </xdr:cNvPr>
        <xdr:cNvGrpSpPr/>
      </xdr:nvGrpSpPr>
      <xdr:grpSpPr>
        <a:xfrm>
          <a:off x="8823297" y="2278867"/>
          <a:ext cx="5216550" cy="597660"/>
          <a:chOff x="231749" y="1003336"/>
          <a:chExt cx="5216550" cy="603885"/>
        </a:xfrm>
      </xdr:grpSpPr>
      <xdr:sp macro="" textlink="">
        <xdr:nvSpPr>
          <xdr:cNvPr id="11" name="Step" descr="Select the yellow cell under the amounts for fruit">
            <a:extLst>
              <a:ext uri="{FF2B5EF4-FFF2-40B4-BE49-F238E27FC236}">
                <a16:creationId xmlns:a16="http://schemas.microsoft.com/office/drawing/2014/main" id="{BBC44095-0FCB-426D-B92F-81ADE9339D0F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Una empresa asigna 6 días de vacaciones por cada 365 días trabajados. Esta es una lista de todos los empleados que no han tomado una sola vacación desde que fueron contratados. 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La empresa paga los días de vacaciones cuando expiran, y el director de finanzas quiere saber cuantos días de vacaciones cada empleado ha acumulado. 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Calcula el monto para cada empleado hasta el dia de HOY, nota que si se puede tener días parciales. 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1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Tip:</a:t>
            </a: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 Necesitarás usar la fórmula de </a:t>
            </a:r>
            <a:r>
              <a:rPr kumimoji="0" lang="en-US" sz="1100" b="1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=HOY() </a:t>
            </a: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para obtener la respuesta correcta.  </a:t>
            </a:r>
          </a:p>
        </xdr:txBody>
      </xdr:sp>
      <xdr:sp macro="" textlink="">
        <xdr:nvSpPr>
          <xdr:cNvPr id="12" name="1" descr="1">
            <a:extLst>
              <a:ext uri="{FF2B5EF4-FFF2-40B4-BE49-F238E27FC236}">
                <a16:creationId xmlns:a16="http://schemas.microsoft.com/office/drawing/2014/main" id="{DA9130D1-A1FB-4AB0-BC59-D665EBD155CD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1</a:t>
            </a:r>
          </a:p>
        </xdr:txBody>
      </xdr:sp>
    </xdr:grpSp>
    <xdr:clientData/>
  </xdr:twoCellAnchor>
  <xdr:twoCellAnchor editAs="oneCell">
    <xdr:from>
      <xdr:col>7</xdr:col>
      <xdr:colOff>209550</xdr:colOff>
      <xdr:row>10</xdr:row>
      <xdr:rowOff>73381</xdr:rowOff>
    </xdr:from>
    <xdr:to>
      <xdr:col>16</xdr:col>
      <xdr:colOff>24088</xdr:colOff>
      <xdr:row>11</xdr:row>
      <xdr:rowOff>133053</xdr:rowOff>
    </xdr:to>
    <xdr:sp macro="" textlink="">
      <xdr:nvSpPr>
        <xdr:cNvPr id="10" name="Add numbers introduction" descr="Here are some ways to add up numbers in Excel:">
          <a:extLst>
            <a:ext uri="{FF2B5EF4-FFF2-40B4-BE49-F238E27FC236}">
              <a16:creationId xmlns:a16="http://schemas.microsoft.com/office/drawing/2014/main" id="{32D561F6-1857-4CF4-9DD8-C75A6CCAA544}"/>
            </a:ext>
          </a:extLst>
        </xdr:cNvPr>
        <xdr:cNvSpPr txBox="1"/>
      </xdr:nvSpPr>
      <xdr:spPr>
        <a:xfrm>
          <a:off x="8686800" y="1978381"/>
          <a:ext cx="5300938" cy="2501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Instrucciones</a:t>
          </a:r>
        </a:p>
      </xdr:txBody>
    </xdr:sp>
    <xdr:clientData/>
  </xdr:twoCellAnchor>
  <xdr:twoCellAnchor>
    <xdr:from>
      <xdr:col>0</xdr:col>
      <xdr:colOff>0</xdr:colOff>
      <xdr:row>0</xdr:row>
      <xdr:rowOff>19050</xdr:rowOff>
    </xdr:from>
    <xdr:to>
      <xdr:col>3</xdr:col>
      <xdr:colOff>608542</xdr:colOff>
      <xdr:row>7</xdr:row>
      <xdr:rowOff>124883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7FE1D9E-D8D4-4991-808B-0404F1A0547A}"/>
            </a:ext>
          </a:extLst>
        </xdr:cNvPr>
        <xdr:cNvGrpSpPr/>
      </xdr:nvGrpSpPr>
      <xdr:grpSpPr>
        <a:xfrm>
          <a:off x="0" y="19050"/>
          <a:ext cx="4275667" cy="1439333"/>
          <a:chOff x="0" y="0"/>
          <a:chExt cx="4275667" cy="1439333"/>
        </a:xfrm>
      </xdr:grpSpPr>
      <xdr:pic>
        <xdr:nvPicPr>
          <xdr:cNvPr id="3" name="Imagen 1" descr="A green and white logo&#10;&#10;Description automatically generated">
            <a:extLst>
              <a:ext uri="{FF2B5EF4-FFF2-40B4-BE49-F238E27FC236}">
                <a16:creationId xmlns:a16="http://schemas.microsoft.com/office/drawing/2014/main" id="{091B1A10-F02B-0936-F897-E70118BF4E8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4265083" cy="893346"/>
          </a:xfrm>
          <a:prstGeom prst="rect">
            <a:avLst/>
          </a:prstGeom>
        </xdr:spPr>
      </xdr:pic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A3E96E15-FEE3-CD88-CE49-D7B7ACA6564F}"/>
              </a:ext>
            </a:extLst>
          </xdr:cNvPr>
          <xdr:cNvSpPr/>
        </xdr:nvSpPr>
        <xdr:spPr>
          <a:xfrm>
            <a:off x="0" y="963083"/>
            <a:ext cx="4275667" cy="476250"/>
          </a:xfrm>
          <a:prstGeom prst="rect">
            <a:avLst/>
          </a:prstGeom>
          <a:gradFill>
            <a:gsLst>
              <a:gs pos="22000">
                <a:srgbClr val="0A606D"/>
              </a:gs>
              <a:gs pos="76000">
                <a:srgbClr val="096D4B"/>
              </a:gs>
            </a:gsLst>
            <a:lin ang="270000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 defTabSz="914400" rtl="0" eaLnBrk="1" latinLnBrk="0" hangingPunct="1"/>
            <a:r>
              <a:rPr lang="es-MX" sz="2400" b="1" kern="12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REFERENCIAS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238125</xdr:colOff>
      <xdr:row>12</xdr:row>
      <xdr:rowOff>123825</xdr:rowOff>
    </xdr:from>
    <xdr:to>
      <xdr:col>16</xdr:col>
      <xdr:colOff>104775</xdr:colOff>
      <xdr:row>34</xdr:row>
      <xdr:rowOff>9525</xdr:rowOff>
    </xdr:to>
    <xdr:sp macro="" textlink="">
      <xdr:nvSpPr>
        <xdr:cNvPr id="3" name="Background" descr="Background">
          <a:extLst>
            <a:ext uri="{FF2B5EF4-FFF2-40B4-BE49-F238E27FC236}">
              <a16:creationId xmlns:a16="http://schemas.microsoft.com/office/drawing/2014/main" id="{FE50F20E-6E2D-4AD2-85D5-7776F9551AE4}"/>
            </a:ext>
          </a:extLst>
        </xdr:cNvPr>
        <xdr:cNvSpPr/>
      </xdr:nvSpPr>
      <xdr:spPr>
        <a:xfrm>
          <a:off x="7067550" y="2438400"/>
          <a:ext cx="5695950" cy="4076700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 editAs="oneCell">
    <xdr:from>
      <xdr:col>7</xdr:col>
      <xdr:colOff>584173</xdr:colOff>
      <xdr:row>13</xdr:row>
      <xdr:rowOff>41274</xdr:rowOff>
    </xdr:from>
    <xdr:to>
      <xdr:col>15</xdr:col>
      <xdr:colOff>581024</xdr:colOff>
      <xdr:row>15</xdr:row>
      <xdr:rowOff>146116</xdr:rowOff>
    </xdr:to>
    <xdr:sp macro="" textlink="">
      <xdr:nvSpPr>
        <xdr:cNvPr id="4" name="Step" descr="Add numbers like a champ">
          <a:extLst>
            <a:ext uri="{FF2B5EF4-FFF2-40B4-BE49-F238E27FC236}">
              <a16:creationId xmlns:a16="http://schemas.microsoft.com/office/drawing/2014/main" id="{F52846EA-889B-4502-BF0E-835EE94258D8}"/>
            </a:ext>
          </a:extLst>
        </xdr:cNvPr>
        <xdr:cNvSpPr txBox="1"/>
      </xdr:nvSpPr>
      <xdr:spPr>
        <a:xfrm>
          <a:off x="7270723" y="2565399"/>
          <a:ext cx="5216551" cy="4858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Comisión de Venta</a:t>
          </a:r>
        </a:p>
      </xdr:txBody>
    </xdr:sp>
    <xdr:clientData/>
  </xdr:twoCellAnchor>
  <xdr:twoCellAnchor editAs="oneCell">
    <xdr:from>
      <xdr:col>7</xdr:col>
      <xdr:colOff>587349</xdr:colOff>
      <xdr:row>31</xdr:row>
      <xdr:rowOff>39278</xdr:rowOff>
    </xdr:from>
    <xdr:to>
      <xdr:col>15</xdr:col>
      <xdr:colOff>581025</xdr:colOff>
      <xdr:row>31</xdr:row>
      <xdr:rowOff>39278</xdr:rowOff>
    </xdr:to>
    <xdr:cxnSp macro="">
      <xdr:nvCxnSpPr>
        <xdr:cNvPr id="5" name="Bottom line" descr="Decorative line">
          <a:extLst>
            <a:ext uri="{FF2B5EF4-FFF2-40B4-BE49-F238E27FC236}">
              <a16:creationId xmlns:a16="http://schemas.microsoft.com/office/drawing/2014/main" id="{F6125192-41E5-423E-97B5-9AFB30E93DAD}"/>
            </a:ext>
          </a:extLst>
        </xdr:cNvPr>
        <xdr:cNvCxnSpPr>
          <a:cxnSpLocks/>
        </xdr:cNvCxnSpPr>
      </xdr:nvCxnSpPr>
      <xdr:spPr>
        <a:xfrm>
          <a:off x="7273899" y="5992403"/>
          <a:ext cx="5213376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587349</xdr:colOff>
      <xdr:row>15</xdr:row>
      <xdr:rowOff>162456</xdr:rowOff>
    </xdr:from>
    <xdr:to>
      <xdr:col>15</xdr:col>
      <xdr:colOff>581025</xdr:colOff>
      <xdr:row>15</xdr:row>
      <xdr:rowOff>162456</xdr:rowOff>
    </xdr:to>
    <xdr:cxnSp macro="">
      <xdr:nvCxnSpPr>
        <xdr:cNvPr id="6" name="Top line" descr="Decorative line">
          <a:extLst>
            <a:ext uri="{FF2B5EF4-FFF2-40B4-BE49-F238E27FC236}">
              <a16:creationId xmlns:a16="http://schemas.microsoft.com/office/drawing/2014/main" id="{D7F5EB5E-DFA0-43F0-9489-42A2037BF6E3}"/>
            </a:ext>
          </a:extLst>
        </xdr:cNvPr>
        <xdr:cNvCxnSpPr>
          <a:cxnSpLocks/>
        </xdr:cNvCxnSpPr>
      </xdr:nvCxnSpPr>
      <xdr:spPr>
        <a:xfrm>
          <a:off x="7273899" y="3067581"/>
          <a:ext cx="5213376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584172</xdr:colOff>
      <xdr:row>17</xdr:row>
      <xdr:rowOff>154792</xdr:rowOff>
    </xdr:from>
    <xdr:to>
      <xdr:col>15</xdr:col>
      <xdr:colOff>581022</xdr:colOff>
      <xdr:row>20</xdr:row>
      <xdr:rowOff>180952</xdr:rowOff>
    </xdr:to>
    <xdr:grpSp>
      <xdr:nvGrpSpPr>
        <xdr:cNvPr id="7" name="Step1">
          <a:extLst>
            <a:ext uri="{FF2B5EF4-FFF2-40B4-BE49-F238E27FC236}">
              <a16:creationId xmlns:a16="http://schemas.microsoft.com/office/drawing/2014/main" id="{01C65D70-F674-4B49-B473-2071EF1ABE90}"/>
            </a:ext>
          </a:extLst>
        </xdr:cNvPr>
        <xdr:cNvGrpSpPr/>
      </xdr:nvGrpSpPr>
      <xdr:grpSpPr>
        <a:xfrm>
          <a:off x="7889847" y="3421867"/>
          <a:ext cx="5216550" cy="597660"/>
          <a:chOff x="231749" y="1003336"/>
          <a:chExt cx="5216550" cy="603885"/>
        </a:xfrm>
      </xdr:grpSpPr>
      <xdr:sp macro="" textlink="">
        <xdr:nvSpPr>
          <xdr:cNvPr id="8" name="Step" descr="Select the yellow cell under the amounts for fruit">
            <a:extLst>
              <a:ext uri="{FF2B5EF4-FFF2-40B4-BE49-F238E27FC236}">
                <a16:creationId xmlns:a16="http://schemas.microsoft.com/office/drawing/2014/main" id="{CF60E025-98E1-43EB-8DB9-49F8AD97C078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Calcula el monto de las comisiones de venta, comisiones de cr´redito y IVA, y luego suma el total de las columnas B:E para cada fila. Tendrás que hacer una fórmula para cada columna y arrastrar. Usa tus atajos de teclado. </a:t>
            </a:r>
          </a:p>
        </xdr:txBody>
      </xdr:sp>
      <xdr:sp macro="" textlink="">
        <xdr:nvSpPr>
          <xdr:cNvPr id="9" name="1" descr="1">
            <a:extLst>
              <a:ext uri="{FF2B5EF4-FFF2-40B4-BE49-F238E27FC236}">
                <a16:creationId xmlns:a16="http://schemas.microsoft.com/office/drawing/2014/main" id="{A1D140C4-304C-4A21-BD5B-361C3F897695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1</a:t>
            </a:r>
          </a:p>
        </xdr:txBody>
      </xdr:sp>
    </xdr:grpSp>
    <xdr:clientData/>
  </xdr:twoCellAnchor>
  <xdr:twoCellAnchor editAs="oneCell">
    <xdr:from>
      <xdr:col>7</xdr:col>
      <xdr:colOff>581025</xdr:colOff>
      <xdr:row>16</xdr:row>
      <xdr:rowOff>44806</xdr:rowOff>
    </xdr:from>
    <xdr:to>
      <xdr:col>16</xdr:col>
      <xdr:colOff>52663</xdr:colOff>
      <xdr:row>17</xdr:row>
      <xdr:rowOff>104478</xdr:rowOff>
    </xdr:to>
    <xdr:sp macro="" textlink="">
      <xdr:nvSpPr>
        <xdr:cNvPr id="10" name="Add numbers introduction" descr="Here are some ways to add up numbers in Excel:">
          <a:extLst>
            <a:ext uri="{FF2B5EF4-FFF2-40B4-BE49-F238E27FC236}">
              <a16:creationId xmlns:a16="http://schemas.microsoft.com/office/drawing/2014/main" id="{A5C34231-B4AB-4505-9ABB-45FBFC3E1F8A}"/>
            </a:ext>
          </a:extLst>
        </xdr:cNvPr>
        <xdr:cNvSpPr txBox="1"/>
      </xdr:nvSpPr>
      <xdr:spPr>
        <a:xfrm>
          <a:off x="7267575" y="3140431"/>
          <a:ext cx="5300938" cy="2501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Instrucciones</a:t>
          </a:r>
        </a:p>
      </xdr:txBody>
    </xdr:sp>
    <xdr:clientData/>
  </xdr:twoCellAnchor>
  <xdr:twoCellAnchor editAs="oneCell">
    <xdr:from>
      <xdr:col>7</xdr:col>
      <xdr:colOff>555597</xdr:colOff>
      <xdr:row>24</xdr:row>
      <xdr:rowOff>164317</xdr:rowOff>
    </xdr:from>
    <xdr:to>
      <xdr:col>15</xdr:col>
      <xdr:colOff>552447</xdr:colOff>
      <xdr:row>27</xdr:row>
      <xdr:rowOff>190477</xdr:rowOff>
    </xdr:to>
    <xdr:grpSp>
      <xdr:nvGrpSpPr>
        <xdr:cNvPr id="11" name="Step1">
          <a:extLst>
            <a:ext uri="{FF2B5EF4-FFF2-40B4-BE49-F238E27FC236}">
              <a16:creationId xmlns:a16="http://schemas.microsoft.com/office/drawing/2014/main" id="{3D099E0C-F94B-4A46-9F3C-38953B1A5CA4}"/>
            </a:ext>
          </a:extLst>
        </xdr:cNvPr>
        <xdr:cNvGrpSpPr/>
      </xdr:nvGrpSpPr>
      <xdr:grpSpPr>
        <a:xfrm>
          <a:off x="7861272" y="4764892"/>
          <a:ext cx="5216550" cy="597660"/>
          <a:chOff x="231749" y="1003336"/>
          <a:chExt cx="5216550" cy="603885"/>
        </a:xfrm>
      </xdr:grpSpPr>
      <xdr:sp macro="" textlink="">
        <xdr:nvSpPr>
          <xdr:cNvPr id="12" name="Step" descr="Select the yellow cell under the amounts for fruit">
            <a:extLst>
              <a:ext uri="{FF2B5EF4-FFF2-40B4-BE49-F238E27FC236}">
                <a16:creationId xmlns:a16="http://schemas.microsoft.com/office/drawing/2014/main" id="{673C4342-B432-4C62-B45F-18B609FEB4C8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Calcula lo mismo que arriba, pero solo escribe una fórmula para C11 y luego arrastrala hacia la derecha y hacia abajo usando las referencias apropiadas. Tendrás que usar una fórmula separada para el total. 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1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Tip:</a:t>
            </a: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 imposible hacerlo sin usar transponer.  </a:t>
            </a:r>
          </a:p>
        </xdr:txBody>
      </xdr:sp>
      <xdr:sp macro="" textlink="">
        <xdr:nvSpPr>
          <xdr:cNvPr id="13" name="1" descr="1">
            <a:extLst>
              <a:ext uri="{FF2B5EF4-FFF2-40B4-BE49-F238E27FC236}">
                <a16:creationId xmlns:a16="http://schemas.microsoft.com/office/drawing/2014/main" id="{978B5658-D019-4FB0-9211-6281C57002A8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2</a:t>
            </a:r>
          </a:p>
        </xdr:txBody>
      </xdr:sp>
    </xdr:grpSp>
    <xdr:clientData/>
  </xdr:twoCellAnchor>
  <xdr:twoCellAnchor>
    <xdr:from>
      <xdr:col>8</xdr:col>
      <xdr:colOff>285750</xdr:colOff>
      <xdr:row>23</xdr:row>
      <xdr:rowOff>19050</xdr:rowOff>
    </xdr:from>
    <xdr:to>
      <xdr:col>8</xdr:col>
      <xdr:colOff>760039</xdr:colOff>
      <xdr:row>25</xdr:row>
      <xdr:rowOff>77786</xdr:rowOff>
    </xdr:to>
    <xdr:pic>
      <xdr:nvPicPr>
        <xdr:cNvPr id="14" name="Extra credit ribbon" descr="Decorative ribbon">
          <a:extLst>
            <a:ext uri="{FF2B5EF4-FFF2-40B4-BE49-F238E27FC236}">
              <a16:creationId xmlns:a16="http://schemas.microsoft.com/office/drawing/2014/main" id="{364AAF72-76A6-45AA-9475-EA07B2C94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581900" y="4448175"/>
          <a:ext cx="474289" cy="439736"/>
        </a:xfrm>
        <a:prstGeom prst="rect">
          <a:avLst/>
        </a:prstGeom>
      </xdr:spPr>
    </xdr:pic>
    <xdr:clientData/>
  </xdr:twoCellAnchor>
  <xdr:twoCellAnchor editAs="oneCell">
    <xdr:from>
      <xdr:col>8</xdr:col>
      <xdr:colOff>704850</xdr:colOff>
      <xdr:row>23</xdr:row>
      <xdr:rowOff>44806</xdr:rowOff>
    </xdr:from>
    <xdr:to>
      <xdr:col>17</xdr:col>
      <xdr:colOff>176488</xdr:colOff>
      <xdr:row>24</xdr:row>
      <xdr:rowOff>104478</xdr:rowOff>
    </xdr:to>
    <xdr:sp macro="" textlink="">
      <xdr:nvSpPr>
        <xdr:cNvPr id="15" name="Add numbers introduction" descr="Here are some ways to add up numbers in Excel:">
          <a:extLst>
            <a:ext uri="{FF2B5EF4-FFF2-40B4-BE49-F238E27FC236}">
              <a16:creationId xmlns:a16="http://schemas.microsoft.com/office/drawing/2014/main" id="{DD7821C7-CB94-4A43-BE98-F9956F210111}"/>
            </a:ext>
          </a:extLst>
        </xdr:cNvPr>
        <xdr:cNvSpPr txBox="1"/>
      </xdr:nvSpPr>
      <xdr:spPr>
        <a:xfrm>
          <a:off x="8001000" y="4473931"/>
          <a:ext cx="5300938" cy="2501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kern="0">
              <a:solidFill>
                <a:srgbClr val="F4B183"/>
              </a:solidFill>
              <a:latin typeface="Segoe UI Light" panose="020B0502040204020203" pitchFamily="34" charset="0"/>
              <a:ea typeface="Segoe UI" pitchFamily="34" charset="0"/>
              <a:cs typeface="Segoe UI" panose="020B0502040204020203" pitchFamily="34" charset="0"/>
            </a:rPr>
            <a:t>Puntos Extra</a:t>
          </a:r>
          <a:endParaRPr kumimoji="0" lang="en-US" sz="1600" b="1" i="0" u="none" strike="noStrike" kern="0" cap="none" spc="0" normalizeH="0" baseline="0">
            <a:ln>
              <a:noFill/>
            </a:ln>
            <a:solidFill>
              <a:srgbClr val="F4B183"/>
            </a:solidFill>
            <a:effectLst/>
            <a:uLnTx/>
            <a:uFillTx/>
            <a:latin typeface="Segoe UI Light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970492</xdr:colOff>
      <xdr:row>7</xdr:row>
      <xdr:rowOff>105833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7E21FB2C-B203-45A8-A07E-62F858927A33}"/>
            </a:ext>
          </a:extLst>
        </xdr:cNvPr>
        <xdr:cNvGrpSpPr/>
      </xdr:nvGrpSpPr>
      <xdr:grpSpPr>
        <a:xfrm>
          <a:off x="0" y="0"/>
          <a:ext cx="4275667" cy="1439333"/>
          <a:chOff x="0" y="0"/>
          <a:chExt cx="4275667" cy="1439333"/>
        </a:xfrm>
      </xdr:grpSpPr>
      <xdr:pic>
        <xdr:nvPicPr>
          <xdr:cNvPr id="20" name="Imagen 1" descr="A green and white logo&#10;&#10;Description automatically generated">
            <a:extLst>
              <a:ext uri="{FF2B5EF4-FFF2-40B4-BE49-F238E27FC236}">
                <a16:creationId xmlns:a16="http://schemas.microsoft.com/office/drawing/2014/main" id="{7895DDCC-4A82-1E6C-CB1D-C5C123F450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0" y="0"/>
            <a:ext cx="4265083" cy="893346"/>
          </a:xfrm>
          <a:prstGeom prst="rect">
            <a:avLst/>
          </a:prstGeom>
        </xdr:spPr>
      </xdr:pic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36B0E09A-3993-4095-1793-F551A3ED4285}"/>
              </a:ext>
            </a:extLst>
          </xdr:cNvPr>
          <xdr:cNvSpPr/>
        </xdr:nvSpPr>
        <xdr:spPr>
          <a:xfrm>
            <a:off x="0" y="963083"/>
            <a:ext cx="4275667" cy="476250"/>
          </a:xfrm>
          <a:prstGeom prst="rect">
            <a:avLst/>
          </a:prstGeom>
          <a:gradFill>
            <a:gsLst>
              <a:gs pos="22000">
                <a:srgbClr val="0A606D"/>
              </a:gs>
              <a:gs pos="76000">
                <a:srgbClr val="096D4B"/>
              </a:gs>
            </a:gsLst>
            <a:lin ang="270000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 defTabSz="914400" rtl="0" eaLnBrk="1" latinLnBrk="0" hangingPunct="1"/>
            <a:r>
              <a:rPr lang="es-MX" sz="2400" b="1" kern="12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REFERENCIAS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276225</xdr:colOff>
      <xdr:row>8</xdr:row>
      <xdr:rowOff>66675</xdr:rowOff>
    </xdr:from>
    <xdr:to>
      <xdr:col>13</xdr:col>
      <xdr:colOff>247650</xdr:colOff>
      <xdr:row>25</xdr:row>
      <xdr:rowOff>9525</xdr:rowOff>
    </xdr:to>
    <xdr:sp macro="" textlink="">
      <xdr:nvSpPr>
        <xdr:cNvPr id="3" name="Background" descr="Background">
          <a:extLst>
            <a:ext uri="{FF2B5EF4-FFF2-40B4-BE49-F238E27FC236}">
              <a16:creationId xmlns:a16="http://schemas.microsoft.com/office/drawing/2014/main" id="{A03E58CA-D365-4222-BA29-496AC9D96CA1}"/>
            </a:ext>
          </a:extLst>
        </xdr:cNvPr>
        <xdr:cNvSpPr/>
      </xdr:nvSpPr>
      <xdr:spPr>
        <a:xfrm>
          <a:off x="6715125" y="1619250"/>
          <a:ext cx="5695950" cy="3181350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 editAs="oneCell">
    <xdr:from>
      <xdr:col>7</xdr:col>
      <xdr:colOff>530199</xdr:colOff>
      <xdr:row>23</xdr:row>
      <xdr:rowOff>39278</xdr:rowOff>
    </xdr:from>
    <xdr:to>
      <xdr:col>13</xdr:col>
      <xdr:colOff>19050</xdr:colOff>
      <xdr:row>23</xdr:row>
      <xdr:rowOff>39278</xdr:rowOff>
    </xdr:to>
    <xdr:cxnSp macro="">
      <xdr:nvCxnSpPr>
        <xdr:cNvPr id="4" name="Bottom line" descr="Decorative line">
          <a:extLst>
            <a:ext uri="{FF2B5EF4-FFF2-40B4-BE49-F238E27FC236}">
              <a16:creationId xmlns:a16="http://schemas.microsoft.com/office/drawing/2014/main" id="{38146187-94BC-4397-897F-C57249A7C0AE}"/>
            </a:ext>
          </a:extLst>
        </xdr:cNvPr>
        <xdr:cNvCxnSpPr>
          <a:cxnSpLocks/>
        </xdr:cNvCxnSpPr>
      </xdr:nvCxnSpPr>
      <xdr:spPr>
        <a:xfrm>
          <a:off x="6969099" y="4449353"/>
          <a:ext cx="5213376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511149</xdr:colOff>
      <xdr:row>11</xdr:row>
      <xdr:rowOff>114831</xdr:rowOff>
    </xdr:from>
    <xdr:to>
      <xdr:col>13</xdr:col>
      <xdr:colOff>0</xdr:colOff>
      <xdr:row>11</xdr:row>
      <xdr:rowOff>114831</xdr:rowOff>
    </xdr:to>
    <xdr:cxnSp macro="">
      <xdr:nvCxnSpPr>
        <xdr:cNvPr id="5" name="Top line" descr="Decorative line">
          <a:extLst>
            <a:ext uri="{FF2B5EF4-FFF2-40B4-BE49-F238E27FC236}">
              <a16:creationId xmlns:a16="http://schemas.microsoft.com/office/drawing/2014/main" id="{5AFA5CF5-40C0-43C1-A29B-61FF323F3A09}"/>
            </a:ext>
          </a:extLst>
        </xdr:cNvPr>
        <xdr:cNvCxnSpPr>
          <a:cxnSpLocks/>
        </xdr:cNvCxnSpPr>
      </xdr:nvCxnSpPr>
      <xdr:spPr>
        <a:xfrm>
          <a:off x="6950049" y="2238906"/>
          <a:ext cx="5213376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507972</xdr:colOff>
      <xdr:row>13</xdr:row>
      <xdr:rowOff>107167</xdr:rowOff>
    </xdr:from>
    <xdr:to>
      <xdr:col>12</xdr:col>
      <xdr:colOff>609597</xdr:colOff>
      <xdr:row>16</xdr:row>
      <xdr:rowOff>133327</xdr:rowOff>
    </xdr:to>
    <xdr:grpSp>
      <xdr:nvGrpSpPr>
        <xdr:cNvPr id="6" name="Step1">
          <a:extLst>
            <a:ext uri="{FF2B5EF4-FFF2-40B4-BE49-F238E27FC236}">
              <a16:creationId xmlns:a16="http://schemas.microsoft.com/office/drawing/2014/main" id="{53089E48-7D5F-4609-BEA5-6E434BE7D2F9}"/>
            </a:ext>
          </a:extLst>
        </xdr:cNvPr>
        <xdr:cNvGrpSpPr/>
      </xdr:nvGrpSpPr>
      <xdr:grpSpPr>
        <a:xfrm>
          <a:off x="7204047" y="3174217"/>
          <a:ext cx="5216550" cy="597660"/>
          <a:chOff x="231749" y="1003336"/>
          <a:chExt cx="5216550" cy="603885"/>
        </a:xfrm>
      </xdr:grpSpPr>
      <xdr:sp macro="" textlink="">
        <xdr:nvSpPr>
          <xdr:cNvPr id="7" name="Step" descr="Select the yellow cell under the amounts for fruit">
            <a:extLst>
              <a:ext uri="{FF2B5EF4-FFF2-40B4-BE49-F238E27FC236}">
                <a16:creationId xmlns:a16="http://schemas.microsoft.com/office/drawing/2014/main" id="{2C7209FF-D02A-4EEC-9C79-4A82898092FE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Una empresa turística ofrece paquetes para grupos donde cobran una cuota fija para todo el grupo, más una cuota variable para cada persona en el grupo. 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Calcula, para cada uno de los tres paquetes. El costo total basado en los precios descritos arriba. 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1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Restricciones</a:t>
            </a: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: Solo escribe la fórmula una vez, en </a:t>
            </a:r>
            <a:r>
              <a:rPr kumimoji="0" lang="en-US" sz="1100" b="1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D9</a:t>
            </a: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. Anclála de tal maenra que te permita arrastrar hacia la derecha y abajo. 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8" name="1" descr="1">
            <a:extLst>
              <a:ext uri="{FF2B5EF4-FFF2-40B4-BE49-F238E27FC236}">
                <a16:creationId xmlns:a16="http://schemas.microsoft.com/office/drawing/2014/main" id="{5DE764BF-F196-47E7-98DE-198A0FC04CE3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1</a:t>
            </a:r>
          </a:p>
        </xdr:txBody>
      </xdr:sp>
    </xdr:grpSp>
    <xdr:clientData/>
  </xdr:twoCellAnchor>
  <xdr:twoCellAnchor editAs="oneCell">
    <xdr:from>
      <xdr:col>7</xdr:col>
      <xdr:colOff>504825</xdr:colOff>
      <xdr:row>11</xdr:row>
      <xdr:rowOff>187681</xdr:rowOff>
    </xdr:from>
    <xdr:to>
      <xdr:col>13</xdr:col>
      <xdr:colOff>81238</xdr:colOff>
      <xdr:row>13</xdr:row>
      <xdr:rowOff>56853</xdr:rowOff>
    </xdr:to>
    <xdr:sp macro="" textlink="">
      <xdr:nvSpPr>
        <xdr:cNvPr id="9" name="Add numbers introduction" descr="Here are some ways to add up numbers in Excel:">
          <a:extLst>
            <a:ext uri="{FF2B5EF4-FFF2-40B4-BE49-F238E27FC236}">
              <a16:creationId xmlns:a16="http://schemas.microsoft.com/office/drawing/2014/main" id="{DFC370B5-792B-4245-B05C-3558EA55D96B}"/>
            </a:ext>
          </a:extLst>
        </xdr:cNvPr>
        <xdr:cNvSpPr txBox="1"/>
      </xdr:nvSpPr>
      <xdr:spPr>
        <a:xfrm>
          <a:off x="6943725" y="2311756"/>
          <a:ext cx="5300938" cy="2501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Instrucciones</a:t>
          </a:r>
        </a:p>
      </xdr:txBody>
    </xdr:sp>
    <xdr:clientData/>
  </xdr:twoCellAnchor>
  <xdr:twoCellAnchor editAs="oneCell">
    <xdr:from>
      <xdr:col>7</xdr:col>
      <xdr:colOff>504825</xdr:colOff>
      <xdr:row>8</xdr:row>
      <xdr:rowOff>142875</xdr:rowOff>
    </xdr:from>
    <xdr:to>
      <xdr:col>12</xdr:col>
      <xdr:colOff>606451</xdr:colOff>
      <xdr:row>11</xdr:row>
      <xdr:rowOff>57217</xdr:rowOff>
    </xdr:to>
    <xdr:sp macro="" textlink="">
      <xdr:nvSpPr>
        <xdr:cNvPr id="10" name="Step" descr="Add numbers like a champ">
          <a:extLst>
            <a:ext uri="{FF2B5EF4-FFF2-40B4-BE49-F238E27FC236}">
              <a16:creationId xmlns:a16="http://schemas.microsoft.com/office/drawing/2014/main" id="{217D9F1B-3AFF-451B-AA36-73845E4517A2}"/>
            </a:ext>
          </a:extLst>
        </xdr:cNvPr>
        <xdr:cNvSpPr txBox="1"/>
      </xdr:nvSpPr>
      <xdr:spPr>
        <a:xfrm>
          <a:off x="6943725" y="1695450"/>
          <a:ext cx="5216551" cy="4858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Precio de Paquete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341842</xdr:colOff>
      <xdr:row>4</xdr:row>
      <xdr:rowOff>115358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BA5CBFB-6874-4544-9A4E-95EC70E4E751}"/>
            </a:ext>
          </a:extLst>
        </xdr:cNvPr>
        <xdr:cNvGrpSpPr/>
      </xdr:nvGrpSpPr>
      <xdr:grpSpPr>
        <a:xfrm>
          <a:off x="0" y="0"/>
          <a:ext cx="4275667" cy="1439333"/>
          <a:chOff x="0" y="0"/>
          <a:chExt cx="4275667" cy="1439333"/>
        </a:xfrm>
      </xdr:grpSpPr>
      <xdr:pic>
        <xdr:nvPicPr>
          <xdr:cNvPr id="15" name="Imagen 1" descr="A green and white logo&#10;&#10;Description automatically generated">
            <a:extLst>
              <a:ext uri="{FF2B5EF4-FFF2-40B4-BE49-F238E27FC236}">
                <a16:creationId xmlns:a16="http://schemas.microsoft.com/office/drawing/2014/main" id="{9889AC45-DD48-A126-4815-4283CA3B265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4265083" cy="893346"/>
          </a:xfrm>
          <a:prstGeom prst="rect">
            <a:avLst/>
          </a:prstGeom>
        </xdr:spPr>
      </xdr:pic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A8EF1887-C8A0-8A3F-7B5D-B02F003BBA81}"/>
              </a:ext>
            </a:extLst>
          </xdr:cNvPr>
          <xdr:cNvSpPr/>
        </xdr:nvSpPr>
        <xdr:spPr>
          <a:xfrm>
            <a:off x="0" y="963083"/>
            <a:ext cx="4275667" cy="476250"/>
          </a:xfrm>
          <a:prstGeom prst="rect">
            <a:avLst/>
          </a:prstGeom>
          <a:gradFill>
            <a:gsLst>
              <a:gs pos="22000">
                <a:srgbClr val="0A606D"/>
              </a:gs>
              <a:gs pos="76000">
                <a:srgbClr val="096D4B"/>
              </a:gs>
            </a:gsLst>
            <a:lin ang="270000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 defTabSz="914400" rtl="0" eaLnBrk="1" latinLnBrk="0" hangingPunct="1"/>
            <a:r>
              <a:rPr lang="es-MX" sz="2400" b="1" kern="12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REFERENCIAS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85725</xdr:colOff>
      <xdr:row>10</xdr:row>
      <xdr:rowOff>38099</xdr:rowOff>
    </xdr:from>
    <xdr:to>
      <xdr:col>17</xdr:col>
      <xdr:colOff>38100</xdr:colOff>
      <xdr:row>33</xdr:row>
      <xdr:rowOff>142874</xdr:rowOff>
    </xdr:to>
    <xdr:sp macro="" textlink="">
      <xdr:nvSpPr>
        <xdr:cNvPr id="3" name="Background" descr="Background">
          <a:extLst>
            <a:ext uri="{FF2B5EF4-FFF2-40B4-BE49-F238E27FC236}">
              <a16:creationId xmlns:a16="http://schemas.microsoft.com/office/drawing/2014/main" id="{7A4094F1-31D2-485B-AE4C-B3DDFD44909E}"/>
            </a:ext>
          </a:extLst>
        </xdr:cNvPr>
        <xdr:cNvSpPr/>
      </xdr:nvSpPr>
      <xdr:spPr>
        <a:xfrm>
          <a:off x="7153275" y="1943099"/>
          <a:ext cx="5695950" cy="4486275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 editAs="oneCell">
    <xdr:from>
      <xdr:col>8</xdr:col>
      <xdr:colOff>368274</xdr:colOff>
      <xdr:row>32</xdr:row>
      <xdr:rowOff>86903</xdr:rowOff>
    </xdr:from>
    <xdr:to>
      <xdr:col>16</xdr:col>
      <xdr:colOff>447675</xdr:colOff>
      <xdr:row>32</xdr:row>
      <xdr:rowOff>86903</xdr:rowOff>
    </xdr:to>
    <xdr:cxnSp macro="">
      <xdr:nvCxnSpPr>
        <xdr:cNvPr id="4" name="Bottom line" descr="Decorative line">
          <a:extLst>
            <a:ext uri="{FF2B5EF4-FFF2-40B4-BE49-F238E27FC236}">
              <a16:creationId xmlns:a16="http://schemas.microsoft.com/office/drawing/2014/main" id="{0BD06AC2-C4A4-40C9-BEAF-EF6E2CF11C5A}"/>
            </a:ext>
          </a:extLst>
        </xdr:cNvPr>
        <xdr:cNvCxnSpPr>
          <a:cxnSpLocks/>
        </xdr:cNvCxnSpPr>
      </xdr:nvCxnSpPr>
      <xdr:spPr>
        <a:xfrm>
          <a:off x="7435824" y="6182903"/>
          <a:ext cx="5213376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320649</xdr:colOff>
      <xdr:row>13</xdr:row>
      <xdr:rowOff>86256</xdr:rowOff>
    </xdr:from>
    <xdr:to>
      <xdr:col>16</xdr:col>
      <xdr:colOff>400050</xdr:colOff>
      <xdr:row>13</xdr:row>
      <xdr:rowOff>86256</xdr:rowOff>
    </xdr:to>
    <xdr:cxnSp macro="">
      <xdr:nvCxnSpPr>
        <xdr:cNvPr id="5" name="Top line" descr="Decorative line">
          <a:extLst>
            <a:ext uri="{FF2B5EF4-FFF2-40B4-BE49-F238E27FC236}">
              <a16:creationId xmlns:a16="http://schemas.microsoft.com/office/drawing/2014/main" id="{E799FC99-FFAD-4DFA-AB14-4D124D9089E4}"/>
            </a:ext>
          </a:extLst>
        </xdr:cNvPr>
        <xdr:cNvCxnSpPr>
          <a:cxnSpLocks/>
        </xdr:cNvCxnSpPr>
      </xdr:nvCxnSpPr>
      <xdr:spPr>
        <a:xfrm>
          <a:off x="7388199" y="2562756"/>
          <a:ext cx="5213376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317472</xdr:colOff>
      <xdr:row>15</xdr:row>
      <xdr:rowOff>78592</xdr:rowOff>
    </xdr:from>
    <xdr:to>
      <xdr:col>16</xdr:col>
      <xdr:colOff>400047</xdr:colOff>
      <xdr:row>18</xdr:row>
      <xdr:rowOff>104752</xdr:rowOff>
    </xdr:to>
    <xdr:grpSp>
      <xdr:nvGrpSpPr>
        <xdr:cNvPr id="6" name="Step1">
          <a:extLst>
            <a:ext uri="{FF2B5EF4-FFF2-40B4-BE49-F238E27FC236}">
              <a16:creationId xmlns:a16="http://schemas.microsoft.com/office/drawing/2014/main" id="{1E1E4B3B-8A1D-4A5A-A85F-E01E678E87E4}"/>
            </a:ext>
          </a:extLst>
        </xdr:cNvPr>
        <xdr:cNvGrpSpPr/>
      </xdr:nvGrpSpPr>
      <xdr:grpSpPr>
        <a:xfrm>
          <a:off x="7880322" y="3355192"/>
          <a:ext cx="5216550" cy="597660"/>
          <a:chOff x="231749" y="1003336"/>
          <a:chExt cx="5216550" cy="603885"/>
        </a:xfrm>
      </xdr:grpSpPr>
      <xdr:sp macro="" textlink="">
        <xdr:nvSpPr>
          <xdr:cNvPr id="7" name="Step" descr="Select the yellow cell under the amounts for fruit">
            <a:extLst>
              <a:ext uri="{FF2B5EF4-FFF2-40B4-BE49-F238E27FC236}">
                <a16:creationId xmlns:a16="http://schemas.microsoft.com/office/drawing/2014/main" id="{AAD05EBB-7863-4BAC-93D0-1A50D3EFA851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Una empresa Mexicana vende a clientes potenciales en Japón, RU y la UE. Debe de convertir sus montos de facturas a la moneda de cada nación. Calcula cuanto cada factura es en cada uno de sus 3 equivalentes de moneda. Usa las tasas de cambio estipuladas. 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1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Restricciones: </a:t>
            </a: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solo una fórmula en </a:t>
            </a:r>
            <a:r>
              <a:rPr kumimoji="0" lang="en-US" sz="1100" b="1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D10</a:t>
            </a: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, propiamente anclada para permitir arrastrar hacia la derecha y hacia abajo.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8" name="1" descr="1">
            <a:extLst>
              <a:ext uri="{FF2B5EF4-FFF2-40B4-BE49-F238E27FC236}">
                <a16:creationId xmlns:a16="http://schemas.microsoft.com/office/drawing/2014/main" id="{0D01223F-31B4-43B6-A413-AF0A14E89788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1</a:t>
            </a:r>
          </a:p>
        </xdr:txBody>
      </xdr:sp>
    </xdr:grpSp>
    <xdr:clientData/>
  </xdr:twoCellAnchor>
  <xdr:twoCellAnchor editAs="oneCell">
    <xdr:from>
      <xdr:col>8</xdr:col>
      <xdr:colOff>314325</xdr:colOff>
      <xdr:row>13</xdr:row>
      <xdr:rowOff>159106</xdr:rowOff>
    </xdr:from>
    <xdr:to>
      <xdr:col>16</xdr:col>
      <xdr:colOff>481288</xdr:colOff>
      <xdr:row>15</xdr:row>
      <xdr:rowOff>28278</xdr:rowOff>
    </xdr:to>
    <xdr:sp macro="" textlink="">
      <xdr:nvSpPr>
        <xdr:cNvPr id="9" name="Add numbers introduction" descr="Here are some ways to add up numbers in Excel:">
          <a:extLst>
            <a:ext uri="{FF2B5EF4-FFF2-40B4-BE49-F238E27FC236}">
              <a16:creationId xmlns:a16="http://schemas.microsoft.com/office/drawing/2014/main" id="{DA9B6703-5EF9-4D3D-AE00-176F18DCE316}"/>
            </a:ext>
          </a:extLst>
        </xdr:cNvPr>
        <xdr:cNvSpPr txBox="1"/>
      </xdr:nvSpPr>
      <xdr:spPr>
        <a:xfrm>
          <a:off x="7381875" y="2635606"/>
          <a:ext cx="5300938" cy="2501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Instrucciones</a:t>
          </a:r>
        </a:p>
      </xdr:txBody>
    </xdr:sp>
    <xdr:clientData/>
  </xdr:twoCellAnchor>
  <xdr:twoCellAnchor editAs="oneCell">
    <xdr:from>
      <xdr:col>8</xdr:col>
      <xdr:colOff>314325</xdr:colOff>
      <xdr:row>10</xdr:row>
      <xdr:rowOff>114300</xdr:rowOff>
    </xdr:from>
    <xdr:to>
      <xdr:col>16</xdr:col>
      <xdr:colOff>396901</xdr:colOff>
      <xdr:row>13</xdr:row>
      <xdr:rowOff>28642</xdr:rowOff>
    </xdr:to>
    <xdr:sp macro="" textlink="">
      <xdr:nvSpPr>
        <xdr:cNvPr id="10" name="Step" descr="Add numbers like a champ">
          <a:extLst>
            <a:ext uri="{FF2B5EF4-FFF2-40B4-BE49-F238E27FC236}">
              <a16:creationId xmlns:a16="http://schemas.microsoft.com/office/drawing/2014/main" id="{4F4B88D6-D8F8-40E7-AD48-942DA76107AD}"/>
            </a:ext>
          </a:extLst>
        </xdr:cNvPr>
        <xdr:cNvSpPr txBox="1"/>
      </xdr:nvSpPr>
      <xdr:spPr>
        <a:xfrm>
          <a:off x="7381875" y="2019300"/>
          <a:ext cx="5216551" cy="4858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Tipos de Cambio</a:t>
          </a:r>
        </a:p>
      </xdr:txBody>
    </xdr:sp>
    <xdr:clientData/>
  </xdr:twoCellAnchor>
  <xdr:twoCellAnchor editAs="oneCell">
    <xdr:from>
      <xdr:col>8</xdr:col>
      <xdr:colOff>314325</xdr:colOff>
      <xdr:row>25</xdr:row>
      <xdr:rowOff>78592</xdr:rowOff>
    </xdr:from>
    <xdr:to>
      <xdr:col>16</xdr:col>
      <xdr:colOff>396900</xdr:colOff>
      <xdr:row>28</xdr:row>
      <xdr:rowOff>104752</xdr:rowOff>
    </xdr:to>
    <xdr:grpSp>
      <xdr:nvGrpSpPr>
        <xdr:cNvPr id="11" name="Step1">
          <a:extLst>
            <a:ext uri="{FF2B5EF4-FFF2-40B4-BE49-F238E27FC236}">
              <a16:creationId xmlns:a16="http://schemas.microsoft.com/office/drawing/2014/main" id="{31763303-F125-4F31-B730-106BD392506A}"/>
            </a:ext>
          </a:extLst>
        </xdr:cNvPr>
        <xdr:cNvGrpSpPr/>
      </xdr:nvGrpSpPr>
      <xdr:grpSpPr>
        <a:xfrm>
          <a:off x="7877175" y="5260192"/>
          <a:ext cx="5216550" cy="597660"/>
          <a:chOff x="231749" y="1003336"/>
          <a:chExt cx="5216550" cy="603885"/>
        </a:xfrm>
      </xdr:grpSpPr>
      <xdr:sp macro="" textlink="">
        <xdr:nvSpPr>
          <xdr:cNvPr id="12" name="Step" descr="Select the yellow cell under the amounts for fruit">
            <a:extLst>
              <a:ext uri="{FF2B5EF4-FFF2-40B4-BE49-F238E27FC236}">
                <a16:creationId xmlns:a16="http://schemas.microsoft.com/office/drawing/2014/main" id="{440E8823-F180-431B-B2FC-BA0377801C67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Cada una de las columnas de </a:t>
            </a:r>
            <a:r>
              <a:rPr kumimoji="0" lang="en-US" sz="1100" b="1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D:F</a:t>
            </a: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 tiene el formato que le corresponde a su moneda. Cuando arrastres tu cálculo hacia la derecha desde </a:t>
            </a:r>
            <a:r>
              <a:rPr kumimoji="0" lang="en-US" sz="1100" b="1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D10</a:t>
            </a: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, hazlo de tal manera que evites perder el formato correcto.</a:t>
            </a:r>
          </a:p>
        </xdr:txBody>
      </xdr:sp>
      <xdr:sp macro="" textlink="">
        <xdr:nvSpPr>
          <xdr:cNvPr id="13" name="1" descr="1">
            <a:extLst>
              <a:ext uri="{FF2B5EF4-FFF2-40B4-BE49-F238E27FC236}">
                <a16:creationId xmlns:a16="http://schemas.microsoft.com/office/drawing/2014/main" id="{4927F87E-A833-4243-A8F6-559BCFB071CB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2</a:t>
            </a:r>
          </a:p>
        </xdr:txBody>
      </xdr:sp>
    </xdr:grpSp>
    <xdr:clientData/>
  </xdr:twoCellAnchor>
  <xdr:twoCellAnchor>
    <xdr:from>
      <xdr:col>8</xdr:col>
      <xdr:colOff>654078</xdr:colOff>
      <xdr:row>23</xdr:row>
      <xdr:rowOff>123825</xdr:rowOff>
    </xdr:from>
    <xdr:to>
      <xdr:col>9</xdr:col>
      <xdr:colOff>394942</xdr:colOff>
      <xdr:row>25</xdr:row>
      <xdr:rowOff>182561</xdr:rowOff>
    </xdr:to>
    <xdr:pic>
      <xdr:nvPicPr>
        <xdr:cNvPr id="14" name="Extra credit ribbon" descr="Decorative ribbon">
          <a:extLst>
            <a:ext uri="{FF2B5EF4-FFF2-40B4-BE49-F238E27FC236}">
              <a16:creationId xmlns:a16="http://schemas.microsoft.com/office/drawing/2014/main" id="{A337B7F9-2073-4564-9A27-148EA121C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721628" y="4505325"/>
          <a:ext cx="474289" cy="439736"/>
        </a:xfrm>
        <a:prstGeom prst="rect">
          <a:avLst/>
        </a:prstGeom>
      </xdr:spPr>
    </xdr:pic>
    <xdr:clientData/>
  </xdr:twoCellAnchor>
  <xdr:twoCellAnchor editAs="oneCell">
    <xdr:from>
      <xdr:col>9</xdr:col>
      <xdr:colOff>339753</xdr:colOff>
      <xdr:row>23</xdr:row>
      <xdr:rowOff>149581</xdr:rowOff>
    </xdr:from>
    <xdr:to>
      <xdr:col>18</xdr:col>
      <xdr:colOff>20941</xdr:colOff>
      <xdr:row>25</xdr:row>
      <xdr:rowOff>18753</xdr:rowOff>
    </xdr:to>
    <xdr:sp macro="" textlink="">
      <xdr:nvSpPr>
        <xdr:cNvPr id="15" name="Add numbers introduction" descr="Here are some ways to add up numbers in Excel:">
          <a:extLst>
            <a:ext uri="{FF2B5EF4-FFF2-40B4-BE49-F238E27FC236}">
              <a16:creationId xmlns:a16="http://schemas.microsoft.com/office/drawing/2014/main" id="{BCD9B784-8FEE-43C8-AAC4-B1FB75F59BA9}"/>
            </a:ext>
          </a:extLst>
        </xdr:cNvPr>
        <xdr:cNvSpPr txBox="1"/>
      </xdr:nvSpPr>
      <xdr:spPr>
        <a:xfrm>
          <a:off x="8140728" y="4531081"/>
          <a:ext cx="5300938" cy="2501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kern="0">
              <a:solidFill>
                <a:srgbClr val="F4B183"/>
              </a:solidFill>
              <a:latin typeface="Segoe UI Light" panose="020B0502040204020203" pitchFamily="34" charset="0"/>
              <a:ea typeface="Segoe UI" pitchFamily="34" charset="0"/>
              <a:cs typeface="Segoe UI" panose="020B0502040204020203" pitchFamily="34" charset="0"/>
            </a:rPr>
            <a:t>Crédito</a:t>
          </a:r>
          <a:r>
            <a:rPr lang="en-US" sz="1600" b="1" kern="0" baseline="0">
              <a:solidFill>
                <a:srgbClr val="F4B183"/>
              </a:solidFill>
              <a:latin typeface="Segoe UI Light" panose="020B0502040204020203" pitchFamily="34" charset="0"/>
              <a:ea typeface="Segoe UI" pitchFamily="34" charset="0"/>
              <a:cs typeface="Segoe UI" panose="020B0502040204020203" pitchFamily="34" charset="0"/>
            </a:rPr>
            <a:t> Extra</a:t>
          </a:r>
          <a:endParaRPr kumimoji="0" lang="en-US" sz="1600" b="1" i="0" u="none" strike="noStrike" kern="0" cap="none" spc="0" normalizeH="0" baseline="0">
            <a:ln>
              <a:noFill/>
            </a:ln>
            <a:solidFill>
              <a:srgbClr val="F4B183"/>
            </a:solidFill>
            <a:effectLst/>
            <a:uLnTx/>
            <a:uFillTx/>
            <a:latin typeface="Segoe UI Light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237067</xdr:colOff>
      <xdr:row>5</xdr:row>
      <xdr:rowOff>96308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1688511-855B-4F5A-9F18-398ED45468A6}"/>
            </a:ext>
          </a:extLst>
        </xdr:cNvPr>
        <xdr:cNvGrpSpPr/>
      </xdr:nvGrpSpPr>
      <xdr:grpSpPr>
        <a:xfrm>
          <a:off x="0" y="0"/>
          <a:ext cx="4275667" cy="1439333"/>
          <a:chOff x="0" y="0"/>
          <a:chExt cx="4275667" cy="1439333"/>
        </a:xfrm>
      </xdr:grpSpPr>
      <xdr:pic>
        <xdr:nvPicPr>
          <xdr:cNvPr id="17" name="Imagen 1" descr="A green and white logo&#10;&#10;Description automatically generated">
            <a:extLst>
              <a:ext uri="{FF2B5EF4-FFF2-40B4-BE49-F238E27FC236}">
                <a16:creationId xmlns:a16="http://schemas.microsoft.com/office/drawing/2014/main" id="{C2FDC178-B32C-A387-52B6-2886DA6BB7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0" y="0"/>
            <a:ext cx="4265083" cy="893346"/>
          </a:xfrm>
          <a:prstGeom prst="rect">
            <a:avLst/>
          </a:prstGeom>
        </xdr:spPr>
      </xdr:pic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EF533A90-8CC6-D235-A210-848BA819340C}"/>
              </a:ext>
            </a:extLst>
          </xdr:cNvPr>
          <xdr:cNvSpPr/>
        </xdr:nvSpPr>
        <xdr:spPr>
          <a:xfrm>
            <a:off x="0" y="963083"/>
            <a:ext cx="4275667" cy="476250"/>
          </a:xfrm>
          <a:prstGeom prst="rect">
            <a:avLst/>
          </a:prstGeom>
          <a:gradFill>
            <a:gsLst>
              <a:gs pos="22000">
                <a:srgbClr val="0A606D"/>
              </a:gs>
              <a:gs pos="76000">
                <a:srgbClr val="096D4B"/>
              </a:gs>
            </a:gsLst>
            <a:lin ang="270000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 defTabSz="914400" rtl="0" eaLnBrk="1" latinLnBrk="0" hangingPunct="1"/>
            <a:r>
              <a:rPr lang="es-MX" sz="2400" b="1" kern="12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REFERENCIAS</a:t>
            </a: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66675</xdr:colOff>
      <xdr:row>8</xdr:row>
      <xdr:rowOff>152400</xdr:rowOff>
    </xdr:from>
    <xdr:to>
      <xdr:col>18</xdr:col>
      <xdr:colOff>276225</xdr:colOff>
      <xdr:row>18</xdr:row>
      <xdr:rowOff>76200</xdr:rowOff>
    </xdr:to>
    <xdr:sp macro="" textlink="">
      <xdr:nvSpPr>
        <xdr:cNvPr id="14" name="Background" descr="Background">
          <a:extLst>
            <a:ext uri="{FF2B5EF4-FFF2-40B4-BE49-F238E27FC236}">
              <a16:creationId xmlns:a16="http://schemas.microsoft.com/office/drawing/2014/main" id="{83BE0FA3-9AD2-45C3-BD54-BB81BBD6C9A0}"/>
            </a:ext>
          </a:extLst>
        </xdr:cNvPr>
        <xdr:cNvSpPr/>
      </xdr:nvSpPr>
      <xdr:spPr>
        <a:xfrm>
          <a:off x="5553075" y="1676400"/>
          <a:ext cx="5695950" cy="2428875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 editAs="oneCell">
    <xdr:from>
      <xdr:col>9</xdr:col>
      <xdr:colOff>320649</xdr:colOff>
      <xdr:row>18</xdr:row>
      <xdr:rowOff>58328</xdr:rowOff>
    </xdr:from>
    <xdr:to>
      <xdr:col>18</xdr:col>
      <xdr:colOff>47625</xdr:colOff>
      <xdr:row>18</xdr:row>
      <xdr:rowOff>58328</xdr:rowOff>
    </xdr:to>
    <xdr:cxnSp macro="">
      <xdr:nvCxnSpPr>
        <xdr:cNvPr id="15" name="Bottom line" descr="Decorative line">
          <a:extLst>
            <a:ext uri="{FF2B5EF4-FFF2-40B4-BE49-F238E27FC236}">
              <a16:creationId xmlns:a16="http://schemas.microsoft.com/office/drawing/2014/main" id="{6EF19062-F0FE-46AB-BAE7-942BD726FDE8}"/>
            </a:ext>
          </a:extLst>
        </xdr:cNvPr>
        <xdr:cNvCxnSpPr>
          <a:cxnSpLocks/>
        </xdr:cNvCxnSpPr>
      </xdr:nvCxnSpPr>
      <xdr:spPr>
        <a:xfrm>
          <a:off x="5807049" y="3706403"/>
          <a:ext cx="5213376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301599</xdr:colOff>
      <xdr:row>11</xdr:row>
      <xdr:rowOff>124356</xdr:rowOff>
    </xdr:from>
    <xdr:to>
      <xdr:col>18</xdr:col>
      <xdr:colOff>28575</xdr:colOff>
      <xdr:row>11</xdr:row>
      <xdr:rowOff>124356</xdr:rowOff>
    </xdr:to>
    <xdr:cxnSp macro="">
      <xdr:nvCxnSpPr>
        <xdr:cNvPr id="16" name="Top line" descr="Decorative line">
          <a:extLst>
            <a:ext uri="{FF2B5EF4-FFF2-40B4-BE49-F238E27FC236}">
              <a16:creationId xmlns:a16="http://schemas.microsoft.com/office/drawing/2014/main" id="{B4FAAE2C-A66F-4F0C-9F08-1374F50C3A7E}"/>
            </a:ext>
          </a:extLst>
        </xdr:cNvPr>
        <xdr:cNvCxnSpPr>
          <a:cxnSpLocks/>
        </xdr:cNvCxnSpPr>
      </xdr:nvCxnSpPr>
      <xdr:spPr>
        <a:xfrm>
          <a:off x="5787999" y="2296056"/>
          <a:ext cx="5213376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298422</xdr:colOff>
      <xdr:row>13</xdr:row>
      <xdr:rowOff>59542</xdr:rowOff>
    </xdr:from>
    <xdr:to>
      <xdr:col>18</xdr:col>
      <xdr:colOff>28572</xdr:colOff>
      <xdr:row>15</xdr:row>
      <xdr:rowOff>66652</xdr:rowOff>
    </xdr:to>
    <xdr:grpSp>
      <xdr:nvGrpSpPr>
        <xdr:cNvPr id="17" name="Step1">
          <a:extLst>
            <a:ext uri="{FF2B5EF4-FFF2-40B4-BE49-F238E27FC236}">
              <a16:creationId xmlns:a16="http://schemas.microsoft.com/office/drawing/2014/main" id="{C5794185-E0EF-4DDF-9F35-82F471BA6EC8}"/>
            </a:ext>
          </a:extLst>
        </xdr:cNvPr>
        <xdr:cNvGrpSpPr/>
      </xdr:nvGrpSpPr>
      <xdr:grpSpPr>
        <a:xfrm>
          <a:off x="5784822" y="2821792"/>
          <a:ext cx="5216550" cy="597660"/>
          <a:chOff x="231749" y="1003336"/>
          <a:chExt cx="5216550" cy="603885"/>
        </a:xfrm>
      </xdr:grpSpPr>
      <xdr:sp macro="" textlink="">
        <xdr:nvSpPr>
          <xdr:cNvPr id="18" name="Step" descr="Select the yellow cell under the amounts for fruit">
            <a:extLst>
              <a:ext uri="{FF2B5EF4-FFF2-40B4-BE49-F238E27FC236}">
                <a16:creationId xmlns:a16="http://schemas.microsoft.com/office/drawing/2014/main" id="{4CB4A552-B358-4E9A-803F-B55635010CFD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Rellena el recuadro de la izquierda multiplicando el ancho x el largo. Se espera que escribas una sola fórmula en </a:t>
            </a:r>
            <a:r>
              <a:rPr kumimoji="0" lang="en-US" sz="1100" b="1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D12</a:t>
            </a: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 y que la ancles correcta para permitir arrastrar hacia la derecha y hacia abajo.</a:t>
            </a:r>
          </a:p>
        </xdr:txBody>
      </xdr:sp>
      <xdr:sp macro="" textlink="">
        <xdr:nvSpPr>
          <xdr:cNvPr id="19" name="1" descr="1">
            <a:extLst>
              <a:ext uri="{FF2B5EF4-FFF2-40B4-BE49-F238E27FC236}">
                <a16:creationId xmlns:a16="http://schemas.microsoft.com/office/drawing/2014/main" id="{444ECFE3-ECC9-4B52-A53A-BF7D504FA7B5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1</a:t>
            </a:r>
          </a:p>
        </xdr:txBody>
      </xdr:sp>
    </xdr:grpSp>
    <xdr:clientData/>
  </xdr:twoCellAnchor>
  <xdr:twoCellAnchor editAs="oneCell">
    <xdr:from>
      <xdr:col>9</xdr:col>
      <xdr:colOff>295275</xdr:colOff>
      <xdr:row>9</xdr:row>
      <xdr:rowOff>38100</xdr:rowOff>
    </xdr:from>
    <xdr:to>
      <xdr:col>18</xdr:col>
      <xdr:colOff>25426</xdr:colOff>
      <xdr:row>11</xdr:row>
      <xdr:rowOff>66742</xdr:rowOff>
    </xdr:to>
    <xdr:sp macro="" textlink="">
      <xdr:nvSpPr>
        <xdr:cNvPr id="20" name="Step" descr="Add numbers like a champ">
          <a:extLst>
            <a:ext uri="{FF2B5EF4-FFF2-40B4-BE49-F238E27FC236}">
              <a16:creationId xmlns:a16="http://schemas.microsoft.com/office/drawing/2014/main" id="{459C2AFD-6347-405E-943C-F35F152B0530}"/>
            </a:ext>
          </a:extLst>
        </xdr:cNvPr>
        <xdr:cNvSpPr txBox="1"/>
      </xdr:nvSpPr>
      <xdr:spPr>
        <a:xfrm>
          <a:off x="5781675" y="1752600"/>
          <a:ext cx="5216551" cy="4858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Areas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8467</xdr:colOff>
      <xdr:row>7</xdr:row>
      <xdr:rowOff>105833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24308C8-9720-4BD4-86D3-E0F644D5A1F0}"/>
            </a:ext>
          </a:extLst>
        </xdr:cNvPr>
        <xdr:cNvGrpSpPr/>
      </xdr:nvGrpSpPr>
      <xdr:grpSpPr>
        <a:xfrm>
          <a:off x="0" y="0"/>
          <a:ext cx="4275667" cy="1439333"/>
          <a:chOff x="0" y="0"/>
          <a:chExt cx="4275667" cy="1439333"/>
        </a:xfrm>
      </xdr:grpSpPr>
      <xdr:pic>
        <xdr:nvPicPr>
          <xdr:cNvPr id="3" name="Imagen 1" descr="A green and white logo&#10;&#10;Description automatically generated">
            <a:extLst>
              <a:ext uri="{FF2B5EF4-FFF2-40B4-BE49-F238E27FC236}">
                <a16:creationId xmlns:a16="http://schemas.microsoft.com/office/drawing/2014/main" id="{AD78A7B9-E3CC-A2B7-A7B0-58FAAED432A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4265083" cy="893346"/>
          </a:xfrm>
          <a:prstGeom prst="rect">
            <a:avLst/>
          </a:prstGeom>
        </xdr:spPr>
      </xdr:pic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173505F7-1E61-C8CB-E513-03D30A54475F}"/>
              </a:ext>
            </a:extLst>
          </xdr:cNvPr>
          <xdr:cNvSpPr/>
        </xdr:nvSpPr>
        <xdr:spPr>
          <a:xfrm>
            <a:off x="0" y="963083"/>
            <a:ext cx="4275667" cy="476250"/>
          </a:xfrm>
          <a:prstGeom prst="rect">
            <a:avLst/>
          </a:prstGeom>
          <a:gradFill>
            <a:gsLst>
              <a:gs pos="22000">
                <a:srgbClr val="0A606D"/>
              </a:gs>
              <a:gs pos="76000">
                <a:srgbClr val="096D4B"/>
              </a:gs>
            </a:gsLst>
            <a:lin ang="270000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 defTabSz="914400" rtl="0" eaLnBrk="1" latinLnBrk="0" hangingPunct="1"/>
            <a:r>
              <a:rPr lang="es-MX" sz="2400" b="1" kern="12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REFERENCIAS</a:t>
            </a: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11</xdr:row>
      <xdr:rowOff>123825</xdr:rowOff>
    </xdr:from>
    <xdr:to>
      <xdr:col>6</xdr:col>
      <xdr:colOff>447675</xdr:colOff>
      <xdr:row>30</xdr:row>
      <xdr:rowOff>152400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F9F5D4B5-7FA8-488F-A649-CFAD3BB2F70B}"/>
            </a:ext>
          </a:extLst>
        </xdr:cNvPr>
        <xdr:cNvSpPr/>
      </xdr:nvSpPr>
      <xdr:spPr>
        <a:xfrm>
          <a:off x="1638300" y="2581275"/>
          <a:ext cx="2466975" cy="3648075"/>
        </a:xfrm>
        <a:prstGeom prst="round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/>
        <a:p>
          <a:pPr marL="0" indent="0" algn="l" defTabSz="914400" rtl="0" eaLnBrk="1" latinLnBrk="0" hangingPunct="1"/>
          <a:endParaRPr lang="es-MX" sz="1100" kern="12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3</xdr:col>
      <xdr:colOff>9525</xdr:colOff>
      <xdr:row>28</xdr:row>
      <xdr:rowOff>95250</xdr:rowOff>
    </xdr:from>
    <xdr:to>
      <xdr:col>6</xdr:col>
      <xdr:colOff>247650</xdr:colOff>
      <xdr:row>28</xdr:row>
      <xdr:rowOff>105422</xdr:rowOff>
    </xdr:to>
    <xdr:cxnSp macro="">
      <xdr:nvCxnSpPr>
        <xdr:cNvPr id="8" name="Bottom line" descr="Decorative line">
          <a:extLst>
            <a:ext uri="{FF2B5EF4-FFF2-40B4-BE49-F238E27FC236}">
              <a16:creationId xmlns:a16="http://schemas.microsoft.com/office/drawing/2014/main" id="{A816FA33-5F72-45FA-BA1D-3E15AC0D8C3B}"/>
            </a:ext>
          </a:extLst>
        </xdr:cNvPr>
        <xdr:cNvCxnSpPr>
          <a:cxnSpLocks/>
        </xdr:cNvCxnSpPr>
      </xdr:nvCxnSpPr>
      <xdr:spPr>
        <a:xfrm flipV="1">
          <a:off x="1838325" y="5791200"/>
          <a:ext cx="2066925" cy="10172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581025</xdr:colOff>
      <xdr:row>15</xdr:row>
      <xdr:rowOff>114300</xdr:rowOff>
    </xdr:from>
    <xdr:to>
      <xdr:col>6</xdr:col>
      <xdr:colOff>228600</xdr:colOff>
      <xdr:row>15</xdr:row>
      <xdr:rowOff>114300</xdr:rowOff>
    </xdr:to>
    <xdr:cxnSp macro="">
      <xdr:nvCxnSpPr>
        <xdr:cNvPr id="9" name="Top line" descr="Decorative line">
          <a:extLst>
            <a:ext uri="{FF2B5EF4-FFF2-40B4-BE49-F238E27FC236}">
              <a16:creationId xmlns:a16="http://schemas.microsoft.com/office/drawing/2014/main" id="{61E95F52-E5A2-4AC0-A055-777B7BCEB6BE}"/>
            </a:ext>
          </a:extLst>
        </xdr:cNvPr>
        <xdr:cNvCxnSpPr>
          <a:cxnSpLocks/>
        </xdr:cNvCxnSpPr>
      </xdr:nvCxnSpPr>
      <xdr:spPr>
        <a:xfrm>
          <a:off x="1800225" y="3333750"/>
          <a:ext cx="2085975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38100</xdr:colOff>
      <xdr:row>12</xdr:row>
      <xdr:rowOff>133350</xdr:rowOff>
    </xdr:from>
    <xdr:to>
      <xdr:col>6</xdr:col>
      <xdr:colOff>161925</xdr:colOff>
      <xdr:row>15</xdr:row>
      <xdr:rowOff>47692</xdr:rowOff>
    </xdr:to>
    <xdr:sp macro="" textlink="">
      <xdr:nvSpPr>
        <xdr:cNvPr id="10" name="Step" descr="Add numbers like a champ">
          <a:extLst>
            <a:ext uri="{FF2B5EF4-FFF2-40B4-BE49-F238E27FC236}">
              <a16:creationId xmlns:a16="http://schemas.microsoft.com/office/drawing/2014/main" id="{6BFEE817-A043-4A53-9BB0-D8597D321453}"/>
            </a:ext>
          </a:extLst>
        </xdr:cNvPr>
        <xdr:cNvSpPr txBox="1"/>
      </xdr:nvSpPr>
      <xdr:spPr>
        <a:xfrm>
          <a:off x="1866900" y="2781300"/>
          <a:ext cx="1952625" cy="4858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8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Franklin Gothic Demi Cond" panose="020B0706030402020204" pitchFamily="34" charset="0"/>
              <a:ea typeface="Segoe UI" pitchFamily="34" charset="0"/>
              <a:cs typeface="Segoe UI Light" panose="020B0502040204020203" pitchFamily="34" charset="0"/>
            </a:rPr>
            <a:t>Transponer</a:t>
          </a:r>
        </a:p>
      </xdr:txBody>
    </xdr:sp>
    <xdr:clientData/>
  </xdr:twoCellAnchor>
  <xdr:twoCellAnchor editAs="oneCell">
    <xdr:from>
      <xdr:col>3</xdr:col>
      <xdr:colOff>9525</xdr:colOff>
      <xdr:row>16</xdr:row>
      <xdr:rowOff>47625</xdr:rowOff>
    </xdr:from>
    <xdr:to>
      <xdr:col>6</xdr:col>
      <xdr:colOff>323850</xdr:colOff>
      <xdr:row>19</xdr:row>
      <xdr:rowOff>73786</xdr:rowOff>
    </xdr:to>
    <xdr:grpSp>
      <xdr:nvGrpSpPr>
        <xdr:cNvPr id="11" name="Step1">
          <a:extLst>
            <a:ext uri="{FF2B5EF4-FFF2-40B4-BE49-F238E27FC236}">
              <a16:creationId xmlns:a16="http://schemas.microsoft.com/office/drawing/2014/main" id="{7851CC58-68E6-453D-A8E0-B1E1274FF82E}"/>
            </a:ext>
          </a:extLst>
        </xdr:cNvPr>
        <xdr:cNvGrpSpPr/>
      </xdr:nvGrpSpPr>
      <xdr:grpSpPr>
        <a:xfrm>
          <a:off x="1838325" y="3457575"/>
          <a:ext cx="2143125" cy="597661"/>
          <a:chOff x="231749" y="1003336"/>
          <a:chExt cx="2143125" cy="603885"/>
        </a:xfrm>
      </xdr:grpSpPr>
      <xdr:sp macro="" textlink="">
        <xdr:nvSpPr>
          <xdr:cNvPr id="12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CAA52E81-A227-446A-8B95-31B689276AB4}"/>
              </a:ext>
            </a:extLst>
          </xdr:cNvPr>
          <xdr:cNvSpPr txBox="1"/>
        </xdr:nvSpPr>
        <xdr:spPr>
          <a:xfrm>
            <a:off x="638783" y="1045834"/>
            <a:ext cx="1736091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Selecciona la tabla que quieras para transponer y copiar. 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Selecciona la celda donde la tabla transpuesta va a estar colocada. Vete a </a:t>
            </a:r>
            <a:r>
              <a:rPr lang="es" sz="1100" b="1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Inicio - Pegar - Transponer</a:t>
            </a:r>
          </a:p>
        </xdr:txBody>
      </xdr:sp>
      <xdr:sp macro="" textlink="">
        <xdr:nvSpPr>
          <xdr:cNvPr id="13" name="1" descr="1">
            <a:extLst>
              <a:ext uri="{FF2B5EF4-FFF2-40B4-BE49-F238E27FC236}">
                <a16:creationId xmlns:a16="http://schemas.microsoft.com/office/drawing/2014/main" id="{AEDB3B39-A44A-4928-B2E6-9DDFDD8848E8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1</a:t>
            </a:r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8467</xdr:colOff>
      <xdr:row>7</xdr:row>
      <xdr:rowOff>105833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DAE42C7-BD49-44E8-A014-F5E6505415A9}"/>
            </a:ext>
          </a:extLst>
        </xdr:cNvPr>
        <xdr:cNvGrpSpPr/>
      </xdr:nvGrpSpPr>
      <xdr:grpSpPr>
        <a:xfrm>
          <a:off x="0" y="0"/>
          <a:ext cx="4275667" cy="1439333"/>
          <a:chOff x="0" y="0"/>
          <a:chExt cx="4275667" cy="1439333"/>
        </a:xfrm>
      </xdr:grpSpPr>
      <xdr:pic>
        <xdr:nvPicPr>
          <xdr:cNvPr id="3" name="Imagen 1" descr="A green and white logo&#10;&#10;Description automatically generated">
            <a:extLst>
              <a:ext uri="{FF2B5EF4-FFF2-40B4-BE49-F238E27FC236}">
                <a16:creationId xmlns:a16="http://schemas.microsoft.com/office/drawing/2014/main" id="{FA5EF94A-BC7B-B6AF-3A28-684C4388DA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4265083" cy="893346"/>
          </a:xfrm>
          <a:prstGeom prst="rect">
            <a:avLst/>
          </a:prstGeom>
        </xdr:spPr>
      </xdr:pic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6316BEDF-FAFA-D5F0-0A49-20F0FA109ADA}"/>
              </a:ext>
            </a:extLst>
          </xdr:cNvPr>
          <xdr:cNvSpPr/>
        </xdr:nvSpPr>
        <xdr:spPr>
          <a:xfrm>
            <a:off x="0" y="963083"/>
            <a:ext cx="4275667" cy="476250"/>
          </a:xfrm>
          <a:prstGeom prst="rect">
            <a:avLst/>
          </a:prstGeom>
          <a:gradFill>
            <a:gsLst>
              <a:gs pos="22000">
                <a:srgbClr val="0A606D"/>
              </a:gs>
              <a:gs pos="76000">
                <a:srgbClr val="096D4B"/>
              </a:gs>
            </a:gsLst>
            <a:lin ang="270000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 defTabSz="914400" rtl="0" eaLnBrk="1" latinLnBrk="0" hangingPunct="1"/>
            <a:r>
              <a:rPr lang="es-MX" sz="2400" b="1" kern="12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REFERENCIAS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082EA-D765-49B0-ACC6-74F7278F1C23}">
  <dimension ref="A1:Q38"/>
  <sheetViews>
    <sheetView showGridLines="0" workbookViewId="0">
      <selection sqref="A1:XFD1"/>
    </sheetView>
  </sheetViews>
  <sheetFormatPr defaultColWidth="0" defaultRowHeight="15" customHeight="1" zeroHeight="1" x14ac:dyDescent="0.25"/>
  <cols>
    <col min="1" max="17" width="11.42578125" customWidth="1"/>
    <col min="18" max="16384" width="11.42578125" hidden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3"/>
  <sheetViews>
    <sheetView showGridLines="0" tabSelected="1" workbookViewId="0"/>
  </sheetViews>
  <sheetFormatPr defaultColWidth="9.140625" defaultRowHeight="15" x14ac:dyDescent="0.25"/>
  <cols>
    <col min="1" max="1" width="122.28515625" style="16" customWidth="1"/>
    <col min="2" max="16384" width="9.140625" style="16"/>
  </cols>
  <sheetData>
    <row r="2" spans="1:1" ht="94.5" x14ac:dyDescent="1.5">
      <c r="A2" s="17" t="s">
        <v>391</v>
      </c>
    </row>
    <row r="3" spans="1:1" ht="26.25" x14ac:dyDescent="0.45">
      <c r="A3" s="18" t="s">
        <v>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27447"/>
  </sheetPr>
  <dimension ref="B12:F317"/>
  <sheetViews>
    <sheetView showGridLines="0" workbookViewId="0">
      <selection activeCell="E5" sqref="E5"/>
    </sheetView>
  </sheetViews>
  <sheetFormatPr defaultColWidth="9.140625" defaultRowHeight="15" x14ac:dyDescent="0.25"/>
  <cols>
    <col min="2" max="2" width="18" bestFit="1" customWidth="1"/>
    <col min="3" max="3" width="27.85546875" bestFit="1" customWidth="1"/>
    <col min="4" max="4" width="22.85546875" bestFit="1" customWidth="1"/>
    <col min="5" max="5" width="33" bestFit="1" customWidth="1"/>
  </cols>
  <sheetData>
    <row r="12" spans="2:6" ht="17.25" x14ac:dyDescent="0.3">
      <c r="B12" s="9" t="s">
        <v>393</v>
      </c>
      <c r="C12" s="9" t="s">
        <v>394</v>
      </c>
      <c r="D12" s="9" t="s">
        <v>395</v>
      </c>
      <c r="E12" s="9" t="s">
        <v>396</v>
      </c>
    </row>
    <row r="13" spans="2:6" x14ac:dyDescent="0.25">
      <c r="B13" t="s">
        <v>0</v>
      </c>
      <c r="C13" t="s">
        <v>1</v>
      </c>
      <c r="D13" s="1">
        <v>43638</v>
      </c>
      <c r="E13" s="2"/>
      <c r="F13" s="3" t="str">
        <f ca="1">IF(E13="","",IF(E13=(TODAY()-D13)/365*6,"✔","✘"))</f>
        <v/>
      </c>
    </row>
    <row r="14" spans="2:6" x14ac:dyDescent="0.25">
      <c r="B14" t="s">
        <v>2</v>
      </c>
      <c r="C14" t="s">
        <v>3</v>
      </c>
      <c r="D14" s="1">
        <v>43469</v>
      </c>
      <c r="E14" s="2"/>
      <c r="F14" s="3" t="str">
        <f t="shared" ref="F14:F77" ca="1" si="0">IF(E14="","",IF(E14=(TODAY()-D14)/365*6,"✔","✘"))</f>
        <v/>
      </c>
    </row>
    <row r="15" spans="2:6" x14ac:dyDescent="0.25">
      <c r="B15" t="s">
        <v>4</v>
      </c>
      <c r="C15" t="s">
        <v>5</v>
      </c>
      <c r="D15" s="1">
        <v>43654</v>
      </c>
      <c r="E15" s="2"/>
      <c r="F15" s="3" t="str">
        <f t="shared" ca="1" si="0"/>
        <v/>
      </c>
    </row>
    <row r="16" spans="2:6" x14ac:dyDescent="0.25">
      <c r="B16" t="s">
        <v>6</v>
      </c>
      <c r="C16" t="s">
        <v>3</v>
      </c>
      <c r="D16" s="1">
        <v>43315</v>
      </c>
      <c r="E16" s="2"/>
      <c r="F16" s="3" t="str">
        <f t="shared" ca="1" si="0"/>
        <v/>
      </c>
    </row>
    <row r="17" spans="2:6" x14ac:dyDescent="0.25">
      <c r="B17" t="s">
        <v>7</v>
      </c>
      <c r="C17" t="s">
        <v>8</v>
      </c>
      <c r="D17" s="1">
        <v>43805</v>
      </c>
      <c r="E17" s="2"/>
      <c r="F17" s="3" t="str">
        <f t="shared" ca="1" si="0"/>
        <v/>
      </c>
    </row>
    <row r="18" spans="2:6" x14ac:dyDescent="0.25">
      <c r="B18" t="s">
        <v>9</v>
      </c>
      <c r="C18" t="s">
        <v>5</v>
      </c>
      <c r="D18" s="1">
        <v>43254</v>
      </c>
      <c r="E18" s="2"/>
      <c r="F18" s="3" t="str">
        <f t="shared" ca="1" si="0"/>
        <v/>
      </c>
    </row>
    <row r="19" spans="2:6" x14ac:dyDescent="0.25">
      <c r="B19" t="s">
        <v>10</v>
      </c>
      <c r="C19" t="s">
        <v>3</v>
      </c>
      <c r="D19" s="1">
        <v>43500</v>
      </c>
      <c r="E19" s="2"/>
      <c r="F19" s="3" t="str">
        <f t="shared" ca="1" si="0"/>
        <v/>
      </c>
    </row>
    <row r="20" spans="2:6" x14ac:dyDescent="0.25">
      <c r="B20" t="s">
        <v>11</v>
      </c>
      <c r="C20" t="s">
        <v>12</v>
      </c>
      <c r="D20" s="1">
        <v>43954</v>
      </c>
      <c r="E20" s="2"/>
      <c r="F20" s="3" t="str">
        <f t="shared" ca="1" si="0"/>
        <v/>
      </c>
    </row>
    <row r="21" spans="2:6" x14ac:dyDescent="0.25">
      <c r="B21" t="s">
        <v>13</v>
      </c>
      <c r="C21" t="s">
        <v>5</v>
      </c>
      <c r="D21" s="1">
        <v>43450</v>
      </c>
      <c r="E21" s="2"/>
      <c r="F21" s="3" t="str">
        <f t="shared" ca="1" si="0"/>
        <v/>
      </c>
    </row>
    <row r="22" spans="2:6" x14ac:dyDescent="0.25">
      <c r="B22" t="s">
        <v>14</v>
      </c>
      <c r="C22" t="s">
        <v>1</v>
      </c>
      <c r="D22" s="1">
        <v>43705</v>
      </c>
      <c r="E22" s="2"/>
      <c r="F22" s="3" t="str">
        <f t="shared" ca="1" si="0"/>
        <v/>
      </c>
    </row>
    <row r="23" spans="2:6" x14ac:dyDescent="0.25">
      <c r="B23" t="s">
        <v>15</v>
      </c>
      <c r="C23" t="s">
        <v>8</v>
      </c>
      <c r="D23" s="1">
        <v>43100</v>
      </c>
      <c r="E23" s="2"/>
      <c r="F23" s="3" t="str">
        <f t="shared" ca="1" si="0"/>
        <v/>
      </c>
    </row>
    <row r="24" spans="2:6" x14ac:dyDescent="0.25">
      <c r="B24" t="s">
        <v>16</v>
      </c>
      <c r="C24" t="s">
        <v>1</v>
      </c>
      <c r="D24" s="1">
        <v>43143</v>
      </c>
      <c r="E24" s="2"/>
      <c r="F24" s="3" t="str">
        <f t="shared" ca="1" si="0"/>
        <v/>
      </c>
    </row>
    <row r="25" spans="2:6" x14ac:dyDescent="0.25">
      <c r="B25" t="s">
        <v>17</v>
      </c>
      <c r="C25" t="s">
        <v>12</v>
      </c>
      <c r="D25" s="1">
        <v>43718</v>
      </c>
      <c r="E25" s="2"/>
      <c r="F25" s="3" t="str">
        <f t="shared" ca="1" si="0"/>
        <v/>
      </c>
    </row>
    <row r="26" spans="2:6" x14ac:dyDescent="0.25">
      <c r="B26" t="s">
        <v>18</v>
      </c>
      <c r="C26" t="s">
        <v>3</v>
      </c>
      <c r="D26" s="1">
        <v>43497</v>
      </c>
      <c r="E26" s="2"/>
      <c r="F26" s="3" t="str">
        <f t="shared" ca="1" si="0"/>
        <v/>
      </c>
    </row>
    <row r="27" spans="2:6" x14ac:dyDescent="0.25">
      <c r="B27" t="s">
        <v>19</v>
      </c>
      <c r="C27" t="s">
        <v>5</v>
      </c>
      <c r="D27" s="1">
        <v>43674</v>
      </c>
      <c r="E27" s="2"/>
      <c r="F27" s="3" t="str">
        <f t="shared" ca="1" si="0"/>
        <v/>
      </c>
    </row>
    <row r="28" spans="2:6" x14ac:dyDescent="0.25">
      <c r="B28" t="s">
        <v>20</v>
      </c>
      <c r="C28" t="s">
        <v>1</v>
      </c>
      <c r="D28" s="1">
        <v>43542</v>
      </c>
      <c r="E28" s="2"/>
      <c r="F28" s="3" t="str">
        <f t="shared" ca="1" si="0"/>
        <v/>
      </c>
    </row>
    <row r="29" spans="2:6" x14ac:dyDescent="0.25">
      <c r="B29" t="s">
        <v>21</v>
      </c>
      <c r="C29" t="s">
        <v>5</v>
      </c>
      <c r="D29" s="1">
        <v>43954</v>
      </c>
      <c r="E29" s="2"/>
      <c r="F29" s="3" t="str">
        <f t="shared" ca="1" si="0"/>
        <v/>
      </c>
    </row>
    <row r="30" spans="2:6" x14ac:dyDescent="0.25">
      <c r="B30" t="s">
        <v>22</v>
      </c>
      <c r="C30" t="s">
        <v>5</v>
      </c>
      <c r="D30" s="1">
        <v>43753</v>
      </c>
      <c r="E30" s="2"/>
      <c r="F30" s="3" t="str">
        <f t="shared" ca="1" si="0"/>
        <v/>
      </c>
    </row>
    <row r="31" spans="2:6" x14ac:dyDescent="0.25">
      <c r="B31" t="s">
        <v>23</v>
      </c>
      <c r="C31" t="s">
        <v>12</v>
      </c>
      <c r="D31" s="1">
        <v>43140</v>
      </c>
      <c r="E31" s="2"/>
      <c r="F31" s="3" t="str">
        <f t="shared" ca="1" si="0"/>
        <v/>
      </c>
    </row>
    <row r="32" spans="2:6" x14ac:dyDescent="0.25">
      <c r="B32" t="s">
        <v>24</v>
      </c>
      <c r="C32" t="s">
        <v>5</v>
      </c>
      <c r="D32" s="1">
        <v>43801</v>
      </c>
      <c r="E32" s="2"/>
      <c r="F32" s="3" t="str">
        <f t="shared" ca="1" si="0"/>
        <v/>
      </c>
    </row>
    <row r="33" spans="2:6" x14ac:dyDescent="0.25">
      <c r="B33" t="s">
        <v>25</v>
      </c>
      <c r="C33" t="s">
        <v>5</v>
      </c>
      <c r="D33" s="1">
        <v>43488</v>
      </c>
      <c r="E33" s="2"/>
      <c r="F33" s="3" t="str">
        <f t="shared" ca="1" si="0"/>
        <v/>
      </c>
    </row>
    <row r="34" spans="2:6" x14ac:dyDescent="0.25">
      <c r="B34" t="s">
        <v>26</v>
      </c>
      <c r="C34" t="s">
        <v>1</v>
      </c>
      <c r="D34" s="1">
        <v>43248</v>
      </c>
      <c r="E34" s="2"/>
      <c r="F34" s="3" t="str">
        <f t="shared" ca="1" si="0"/>
        <v/>
      </c>
    </row>
    <row r="35" spans="2:6" x14ac:dyDescent="0.25">
      <c r="B35" t="s">
        <v>27</v>
      </c>
      <c r="C35" t="s">
        <v>8</v>
      </c>
      <c r="D35" s="1">
        <v>43720</v>
      </c>
      <c r="E35" s="2"/>
      <c r="F35" s="3" t="str">
        <f t="shared" ca="1" si="0"/>
        <v/>
      </c>
    </row>
    <row r="36" spans="2:6" x14ac:dyDescent="0.25">
      <c r="B36" t="s">
        <v>28</v>
      </c>
      <c r="C36" t="s">
        <v>3</v>
      </c>
      <c r="D36" s="1">
        <v>43868</v>
      </c>
      <c r="E36" s="2"/>
      <c r="F36" s="3" t="str">
        <f t="shared" ca="1" si="0"/>
        <v/>
      </c>
    </row>
    <row r="37" spans="2:6" x14ac:dyDescent="0.25">
      <c r="B37" t="s">
        <v>29</v>
      </c>
      <c r="C37" t="s">
        <v>1</v>
      </c>
      <c r="D37" s="1">
        <v>43270</v>
      </c>
      <c r="E37" s="2"/>
      <c r="F37" s="3" t="str">
        <f t="shared" ca="1" si="0"/>
        <v/>
      </c>
    </row>
    <row r="38" spans="2:6" x14ac:dyDescent="0.25">
      <c r="B38" t="s">
        <v>30</v>
      </c>
      <c r="C38" t="s">
        <v>5</v>
      </c>
      <c r="D38" s="1">
        <v>43221</v>
      </c>
      <c r="E38" s="2"/>
      <c r="F38" s="3" t="str">
        <f t="shared" ca="1" si="0"/>
        <v/>
      </c>
    </row>
    <row r="39" spans="2:6" x14ac:dyDescent="0.25">
      <c r="B39" t="s">
        <v>31</v>
      </c>
      <c r="C39" t="s">
        <v>5</v>
      </c>
      <c r="D39" s="1">
        <v>43171</v>
      </c>
      <c r="E39" s="2"/>
      <c r="F39" s="3" t="str">
        <f t="shared" ca="1" si="0"/>
        <v/>
      </c>
    </row>
    <row r="40" spans="2:6" x14ac:dyDescent="0.25">
      <c r="B40" t="s">
        <v>32</v>
      </c>
      <c r="C40" t="s">
        <v>1</v>
      </c>
      <c r="D40" s="1">
        <v>43525</v>
      </c>
      <c r="E40" s="2"/>
      <c r="F40" s="3" t="str">
        <f t="shared" ca="1" si="0"/>
        <v/>
      </c>
    </row>
    <row r="41" spans="2:6" x14ac:dyDescent="0.25">
      <c r="B41" t="s">
        <v>33</v>
      </c>
      <c r="C41" t="s">
        <v>5</v>
      </c>
      <c r="D41" s="1">
        <v>43259</v>
      </c>
      <c r="E41" s="2"/>
      <c r="F41" s="3" t="str">
        <f t="shared" ca="1" si="0"/>
        <v/>
      </c>
    </row>
    <row r="42" spans="2:6" x14ac:dyDescent="0.25">
      <c r="B42" t="s">
        <v>34</v>
      </c>
      <c r="C42" t="s">
        <v>8</v>
      </c>
      <c r="D42" s="1">
        <v>43392</v>
      </c>
      <c r="E42" s="2"/>
      <c r="F42" s="3" t="str">
        <f t="shared" ca="1" si="0"/>
        <v/>
      </c>
    </row>
    <row r="43" spans="2:6" x14ac:dyDescent="0.25">
      <c r="B43" t="s">
        <v>35</v>
      </c>
      <c r="C43" t="s">
        <v>5</v>
      </c>
      <c r="D43" s="1">
        <v>43376</v>
      </c>
      <c r="E43" s="2"/>
      <c r="F43" s="3" t="str">
        <f t="shared" ca="1" si="0"/>
        <v/>
      </c>
    </row>
    <row r="44" spans="2:6" x14ac:dyDescent="0.25">
      <c r="B44" t="s">
        <v>36</v>
      </c>
      <c r="C44" t="s">
        <v>8</v>
      </c>
      <c r="D44" s="1">
        <v>43358</v>
      </c>
      <c r="E44" s="2"/>
      <c r="F44" s="3" t="str">
        <f t="shared" ca="1" si="0"/>
        <v/>
      </c>
    </row>
    <row r="45" spans="2:6" x14ac:dyDescent="0.25">
      <c r="B45" t="s">
        <v>37</v>
      </c>
      <c r="C45" t="s">
        <v>5</v>
      </c>
      <c r="D45" s="1">
        <v>43449</v>
      </c>
      <c r="E45" s="2"/>
      <c r="F45" s="3" t="str">
        <f t="shared" ca="1" si="0"/>
        <v/>
      </c>
    </row>
    <row r="46" spans="2:6" x14ac:dyDescent="0.25">
      <c r="B46" t="s">
        <v>38</v>
      </c>
      <c r="C46" t="s">
        <v>12</v>
      </c>
      <c r="D46" s="1">
        <v>43369</v>
      </c>
      <c r="E46" s="2"/>
      <c r="F46" s="3" t="str">
        <f t="shared" ca="1" si="0"/>
        <v/>
      </c>
    </row>
    <row r="47" spans="2:6" x14ac:dyDescent="0.25">
      <c r="B47" t="s">
        <v>39</v>
      </c>
      <c r="C47" t="s">
        <v>3</v>
      </c>
      <c r="D47" s="1">
        <v>43822</v>
      </c>
      <c r="E47" s="2"/>
      <c r="F47" s="3" t="str">
        <f t="shared" ca="1" si="0"/>
        <v/>
      </c>
    </row>
    <row r="48" spans="2:6" x14ac:dyDescent="0.25">
      <c r="B48" t="s">
        <v>40</v>
      </c>
      <c r="C48" t="s">
        <v>5</v>
      </c>
      <c r="D48" s="1">
        <v>43954</v>
      </c>
      <c r="E48" s="2"/>
      <c r="F48" s="3" t="str">
        <f t="shared" ca="1" si="0"/>
        <v/>
      </c>
    </row>
    <row r="49" spans="2:6" x14ac:dyDescent="0.25">
      <c r="B49" t="s">
        <v>41</v>
      </c>
      <c r="C49" t="s">
        <v>12</v>
      </c>
      <c r="D49" s="1">
        <v>43350</v>
      </c>
      <c r="E49" s="2"/>
      <c r="F49" s="3" t="str">
        <f t="shared" ca="1" si="0"/>
        <v/>
      </c>
    </row>
    <row r="50" spans="2:6" x14ac:dyDescent="0.25">
      <c r="B50" t="s">
        <v>42</v>
      </c>
      <c r="C50" t="s">
        <v>3</v>
      </c>
      <c r="D50" s="1">
        <v>43253</v>
      </c>
      <c r="E50" s="2"/>
      <c r="F50" s="3" t="str">
        <f t="shared" ca="1" si="0"/>
        <v/>
      </c>
    </row>
    <row r="51" spans="2:6" x14ac:dyDescent="0.25">
      <c r="B51" t="s">
        <v>43</v>
      </c>
      <c r="C51" t="s">
        <v>5</v>
      </c>
      <c r="D51" s="1">
        <v>43170</v>
      </c>
      <c r="E51" s="2"/>
      <c r="F51" s="3" t="str">
        <f t="shared" ca="1" si="0"/>
        <v/>
      </c>
    </row>
    <row r="52" spans="2:6" x14ac:dyDescent="0.25">
      <c r="B52" t="s">
        <v>44</v>
      </c>
      <c r="C52" t="s">
        <v>5</v>
      </c>
      <c r="D52" s="1">
        <v>43584</v>
      </c>
      <c r="E52" s="2"/>
      <c r="F52" s="3" t="str">
        <f t="shared" ca="1" si="0"/>
        <v/>
      </c>
    </row>
    <row r="53" spans="2:6" x14ac:dyDescent="0.25">
      <c r="B53" t="s">
        <v>45</v>
      </c>
      <c r="C53" t="s">
        <v>5</v>
      </c>
      <c r="D53" s="1">
        <v>43142</v>
      </c>
      <c r="E53" s="2"/>
      <c r="F53" s="3" t="str">
        <f t="shared" ca="1" si="0"/>
        <v/>
      </c>
    </row>
    <row r="54" spans="2:6" x14ac:dyDescent="0.25">
      <c r="B54" t="s">
        <v>46</v>
      </c>
      <c r="C54" t="s">
        <v>8</v>
      </c>
      <c r="D54" s="1">
        <v>43625</v>
      </c>
      <c r="E54" s="2"/>
      <c r="F54" s="3" t="str">
        <f t="shared" ca="1" si="0"/>
        <v/>
      </c>
    </row>
    <row r="55" spans="2:6" x14ac:dyDescent="0.25">
      <c r="B55" t="s">
        <v>47</v>
      </c>
      <c r="C55" t="s">
        <v>12</v>
      </c>
      <c r="D55" s="1">
        <v>43249</v>
      </c>
      <c r="E55" s="2"/>
      <c r="F55" s="3" t="str">
        <f t="shared" ca="1" si="0"/>
        <v/>
      </c>
    </row>
    <row r="56" spans="2:6" x14ac:dyDescent="0.25">
      <c r="B56" t="s">
        <v>48</v>
      </c>
      <c r="C56" t="s">
        <v>8</v>
      </c>
      <c r="D56" s="1">
        <v>43286</v>
      </c>
      <c r="E56" s="2"/>
      <c r="F56" s="3" t="str">
        <f t="shared" ca="1" si="0"/>
        <v/>
      </c>
    </row>
    <row r="57" spans="2:6" x14ac:dyDescent="0.25">
      <c r="B57" t="s">
        <v>49</v>
      </c>
      <c r="C57" t="s">
        <v>8</v>
      </c>
      <c r="D57" s="1">
        <v>43642</v>
      </c>
      <c r="E57" s="2"/>
      <c r="F57" s="3" t="str">
        <f t="shared" ca="1" si="0"/>
        <v/>
      </c>
    </row>
    <row r="58" spans="2:6" x14ac:dyDescent="0.25">
      <c r="B58" t="s">
        <v>50</v>
      </c>
      <c r="C58" t="s">
        <v>1</v>
      </c>
      <c r="D58" s="1">
        <v>43940</v>
      </c>
      <c r="E58" s="2"/>
      <c r="F58" s="3" t="str">
        <f t="shared" ca="1" si="0"/>
        <v/>
      </c>
    </row>
    <row r="59" spans="2:6" x14ac:dyDescent="0.25">
      <c r="B59" t="s">
        <v>51</v>
      </c>
      <c r="C59" t="s">
        <v>8</v>
      </c>
      <c r="D59" s="1">
        <v>43864</v>
      </c>
      <c r="E59" s="2"/>
      <c r="F59" s="3" t="str">
        <f t="shared" ca="1" si="0"/>
        <v/>
      </c>
    </row>
    <row r="60" spans="2:6" x14ac:dyDescent="0.25">
      <c r="B60" t="s">
        <v>52</v>
      </c>
      <c r="C60" t="s">
        <v>5</v>
      </c>
      <c r="D60" s="1">
        <v>43527</v>
      </c>
      <c r="E60" s="2"/>
      <c r="F60" s="3" t="str">
        <f t="shared" ca="1" si="0"/>
        <v/>
      </c>
    </row>
    <row r="61" spans="2:6" x14ac:dyDescent="0.25">
      <c r="B61" t="s">
        <v>53</v>
      </c>
      <c r="C61" t="s">
        <v>12</v>
      </c>
      <c r="D61" s="1">
        <v>43329</v>
      </c>
      <c r="E61" s="2"/>
      <c r="F61" s="3" t="str">
        <f t="shared" ca="1" si="0"/>
        <v/>
      </c>
    </row>
    <row r="62" spans="2:6" x14ac:dyDescent="0.25">
      <c r="B62" t="s">
        <v>54</v>
      </c>
      <c r="C62" t="s">
        <v>1</v>
      </c>
      <c r="D62" s="1">
        <v>43232</v>
      </c>
      <c r="E62" s="2"/>
      <c r="F62" s="3" t="str">
        <f t="shared" ca="1" si="0"/>
        <v/>
      </c>
    </row>
    <row r="63" spans="2:6" x14ac:dyDescent="0.25">
      <c r="B63" t="s">
        <v>55</v>
      </c>
      <c r="C63" t="s">
        <v>1</v>
      </c>
      <c r="D63" s="1">
        <v>43324</v>
      </c>
      <c r="E63" s="2"/>
      <c r="F63" s="3" t="str">
        <f t="shared" ca="1" si="0"/>
        <v/>
      </c>
    </row>
    <row r="64" spans="2:6" x14ac:dyDescent="0.25">
      <c r="B64" t="s">
        <v>56</v>
      </c>
      <c r="C64" t="s">
        <v>1</v>
      </c>
      <c r="D64" s="1">
        <v>43167</v>
      </c>
      <c r="E64" s="2"/>
      <c r="F64" s="3" t="str">
        <f t="shared" ca="1" si="0"/>
        <v/>
      </c>
    </row>
    <row r="65" spans="2:6" x14ac:dyDescent="0.25">
      <c r="B65" t="s">
        <v>57</v>
      </c>
      <c r="C65" t="s">
        <v>5</v>
      </c>
      <c r="D65" s="1">
        <v>43720</v>
      </c>
      <c r="E65" s="2"/>
      <c r="F65" s="3" t="str">
        <f t="shared" ca="1" si="0"/>
        <v/>
      </c>
    </row>
    <row r="66" spans="2:6" x14ac:dyDescent="0.25">
      <c r="B66" t="s">
        <v>58</v>
      </c>
      <c r="C66" t="s">
        <v>12</v>
      </c>
      <c r="D66" s="1">
        <v>43133</v>
      </c>
      <c r="E66" s="2"/>
      <c r="F66" s="3" t="str">
        <f t="shared" ca="1" si="0"/>
        <v/>
      </c>
    </row>
    <row r="67" spans="2:6" x14ac:dyDescent="0.25">
      <c r="B67" t="s">
        <v>59</v>
      </c>
      <c r="C67" t="s">
        <v>5</v>
      </c>
      <c r="D67" s="1">
        <v>43214</v>
      </c>
      <c r="E67" s="2"/>
      <c r="F67" s="3" t="str">
        <f t="shared" ca="1" si="0"/>
        <v/>
      </c>
    </row>
    <row r="68" spans="2:6" x14ac:dyDescent="0.25">
      <c r="B68" t="s">
        <v>60</v>
      </c>
      <c r="C68" t="s">
        <v>5</v>
      </c>
      <c r="D68" s="1">
        <v>43519</v>
      </c>
      <c r="E68" s="2"/>
      <c r="F68" s="3" t="str">
        <f t="shared" ca="1" si="0"/>
        <v/>
      </c>
    </row>
    <row r="69" spans="2:6" x14ac:dyDescent="0.25">
      <c r="B69" t="s">
        <v>61</v>
      </c>
      <c r="C69" t="s">
        <v>5</v>
      </c>
      <c r="D69" s="1">
        <v>43393</v>
      </c>
      <c r="E69" s="2"/>
      <c r="F69" s="3" t="str">
        <f t="shared" ca="1" si="0"/>
        <v/>
      </c>
    </row>
    <row r="70" spans="2:6" x14ac:dyDescent="0.25">
      <c r="B70" t="s">
        <v>62</v>
      </c>
      <c r="C70" t="s">
        <v>12</v>
      </c>
      <c r="D70" s="1">
        <v>43256</v>
      </c>
      <c r="E70" s="2"/>
      <c r="F70" s="3" t="str">
        <f t="shared" ca="1" si="0"/>
        <v/>
      </c>
    </row>
    <row r="71" spans="2:6" x14ac:dyDescent="0.25">
      <c r="B71" t="s">
        <v>63</v>
      </c>
      <c r="C71" t="s">
        <v>1</v>
      </c>
      <c r="D71" s="1">
        <v>43840</v>
      </c>
      <c r="E71" s="2"/>
      <c r="F71" s="3" t="str">
        <f t="shared" ca="1" si="0"/>
        <v/>
      </c>
    </row>
    <row r="72" spans="2:6" x14ac:dyDescent="0.25">
      <c r="B72" t="s">
        <v>64</v>
      </c>
      <c r="C72" t="s">
        <v>1</v>
      </c>
      <c r="D72" s="1">
        <v>43261</v>
      </c>
      <c r="E72" s="2"/>
      <c r="F72" s="3" t="str">
        <f t="shared" ca="1" si="0"/>
        <v/>
      </c>
    </row>
    <row r="73" spans="2:6" x14ac:dyDescent="0.25">
      <c r="B73" t="s">
        <v>65</v>
      </c>
      <c r="C73" t="s">
        <v>8</v>
      </c>
      <c r="D73" s="1">
        <v>43680</v>
      </c>
      <c r="E73" s="2"/>
      <c r="F73" s="3" t="str">
        <f t="shared" ca="1" si="0"/>
        <v/>
      </c>
    </row>
    <row r="74" spans="2:6" x14ac:dyDescent="0.25">
      <c r="B74" t="s">
        <v>66</v>
      </c>
      <c r="C74" t="s">
        <v>1</v>
      </c>
      <c r="D74" s="1">
        <v>43666</v>
      </c>
      <c r="E74" s="2"/>
      <c r="F74" s="3" t="str">
        <f t="shared" ca="1" si="0"/>
        <v/>
      </c>
    </row>
    <row r="75" spans="2:6" x14ac:dyDescent="0.25">
      <c r="B75" t="s">
        <v>67</v>
      </c>
      <c r="C75" t="s">
        <v>5</v>
      </c>
      <c r="D75" s="1">
        <v>43827</v>
      </c>
      <c r="E75" s="2"/>
      <c r="F75" s="3" t="str">
        <f t="shared" ca="1" si="0"/>
        <v/>
      </c>
    </row>
    <row r="76" spans="2:6" x14ac:dyDescent="0.25">
      <c r="B76" t="s">
        <v>68</v>
      </c>
      <c r="C76" t="s">
        <v>3</v>
      </c>
      <c r="D76" s="1">
        <v>43217</v>
      </c>
      <c r="E76" s="2"/>
      <c r="F76" s="3" t="str">
        <f t="shared" ca="1" si="0"/>
        <v/>
      </c>
    </row>
    <row r="77" spans="2:6" x14ac:dyDescent="0.25">
      <c r="B77" t="s">
        <v>69</v>
      </c>
      <c r="C77" t="s">
        <v>8</v>
      </c>
      <c r="D77" s="1">
        <v>43730</v>
      </c>
      <c r="E77" s="2"/>
      <c r="F77" s="3" t="str">
        <f t="shared" ca="1" si="0"/>
        <v/>
      </c>
    </row>
    <row r="78" spans="2:6" x14ac:dyDescent="0.25">
      <c r="B78" t="s">
        <v>70</v>
      </c>
      <c r="C78" t="s">
        <v>1</v>
      </c>
      <c r="D78" s="1">
        <v>43555</v>
      </c>
      <c r="E78" s="2"/>
      <c r="F78" s="3" t="str">
        <f t="shared" ref="F78:F141" ca="1" si="1">IF(E78="","",IF(E78=(TODAY()-D78)/365*6,"✔","✘"))</f>
        <v/>
      </c>
    </row>
    <row r="79" spans="2:6" x14ac:dyDescent="0.25">
      <c r="B79" t="s">
        <v>71</v>
      </c>
      <c r="C79" t="s">
        <v>3</v>
      </c>
      <c r="D79" s="1">
        <v>43341</v>
      </c>
      <c r="E79" s="2"/>
      <c r="F79" s="3" t="str">
        <f t="shared" ca="1" si="1"/>
        <v/>
      </c>
    </row>
    <row r="80" spans="2:6" x14ac:dyDescent="0.25">
      <c r="B80" t="s">
        <v>72</v>
      </c>
      <c r="C80" t="s">
        <v>8</v>
      </c>
      <c r="D80" s="1">
        <v>43883</v>
      </c>
      <c r="E80" s="2"/>
      <c r="F80" s="3" t="str">
        <f t="shared" ca="1" si="1"/>
        <v/>
      </c>
    </row>
    <row r="81" spans="2:6" x14ac:dyDescent="0.25">
      <c r="B81" t="s">
        <v>73</v>
      </c>
      <c r="C81" t="s">
        <v>1</v>
      </c>
      <c r="D81" s="1">
        <v>43669</v>
      </c>
      <c r="E81" s="2"/>
      <c r="F81" s="3" t="str">
        <f t="shared" ca="1" si="1"/>
        <v/>
      </c>
    </row>
    <row r="82" spans="2:6" x14ac:dyDescent="0.25">
      <c r="B82" t="s">
        <v>74</v>
      </c>
      <c r="C82" t="s">
        <v>5</v>
      </c>
      <c r="D82" s="1">
        <v>43349</v>
      </c>
      <c r="E82" s="2"/>
      <c r="F82" s="3" t="str">
        <f t="shared" ca="1" si="1"/>
        <v/>
      </c>
    </row>
    <row r="83" spans="2:6" x14ac:dyDescent="0.25">
      <c r="B83" t="s">
        <v>75</v>
      </c>
      <c r="C83" t="s">
        <v>3</v>
      </c>
      <c r="D83" s="1">
        <v>43786</v>
      </c>
      <c r="E83" s="2"/>
      <c r="F83" s="3" t="str">
        <f t="shared" ca="1" si="1"/>
        <v/>
      </c>
    </row>
    <row r="84" spans="2:6" x14ac:dyDescent="0.25">
      <c r="B84" t="s">
        <v>76</v>
      </c>
      <c r="C84" t="s">
        <v>5</v>
      </c>
      <c r="D84" s="1">
        <v>43173</v>
      </c>
      <c r="E84" s="2"/>
      <c r="F84" s="3" t="str">
        <f t="shared" ca="1" si="1"/>
        <v/>
      </c>
    </row>
    <row r="85" spans="2:6" x14ac:dyDescent="0.25">
      <c r="B85" t="s">
        <v>77</v>
      </c>
      <c r="C85" t="s">
        <v>8</v>
      </c>
      <c r="D85" s="1">
        <v>43724</v>
      </c>
      <c r="E85" s="2"/>
      <c r="F85" s="3" t="str">
        <f t="shared" ca="1" si="1"/>
        <v/>
      </c>
    </row>
    <row r="86" spans="2:6" x14ac:dyDescent="0.25">
      <c r="B86" t="s">
        <v>78</v>
      </c>
      <c r="C86" t="s">
        <v>3</v>
      </c>
      <c r="D86" s="1">
        <v>43661</v>
      </c>
      <c r="E86" s="2"/>
      <c r="F86" s="3" t="str">
        <f t="shared" ca="1" si="1"/>
        <v/>
      </c>
    </row>
    <row r="87" spans="2:6" x14ac:dyDescent="0.25">
      <c r="B87" t="s">
        <v>79</v>
      </c>
      <c r="C87" t="s">
        <v>12</v>
      </c>
      <c r="D87" s="1">
        <v>43904</v>
      </c>
      <c r="E87" s="2"/>
      <c r="F87" s="3" t="str">
        <f t="shared" ca="1" si="1"/>
        <v/>
      </c>
    </row>
    <row r="88" spans="2:6" x14ac:dyDescent="0.25">
      <c r="B88" t="s">
        <v>80</v>
      </c>
      <c r="C88" t="s">
        <v>8</v>
      </c>
      <c r="D88" s="1">
        <v>43315</v>
      </c>
      <c r="E88" s="2"/>
      <c r="F88" s="3" t="str">
        <f t="shared" ca="1" si="1"/>
        <v/>
      </c>
    </row>
    <row r="89" spans="2:6" x14ac:dyDescent="0.25">
      <c r="B89" t="s">
        <v>81</v>
      </c>
      <c r="C89" t="s">
        <v>3</v>
      </c>
      <c r="D89" s="1">
        <v>43531</v>
      </c>
      <c r="E89" s="2"/>
      <c r="F89" s="3" t="str">
        <f t="shared" ca="1" si="1"/>
        <v/>
      </c>
    </row>
    <row r="90" spans="2:6" x14ac:dyDescent="0.25">
      <c r="B90" t="s">
        <v>82</v>
      </c>
      <c r="C90" t="s">
        <v>12</v>
      </c>
      <c r="D90" s="1">
        <v>43336</v>
      </c>
      <c r="E90" s="2"/>
      <c r="F90" s="3" t="str">
        <f t="shared" ca="1" si="1"/>
        <v/>
      </c>
    </row>
    <row r="91" spans="2:6" x14ac:dyDescent="0.25">
      <c r="B91" t="s">
        <v>83</v>
      </c>
      <c r="C91" t="s">
        <v>3</v>
      </c>
      <c r="D91" s="1">
        <v>43755</v>
      </c>
      <c r="E91" s="2"/>
      <c r="F91" s="3" t="str">
        <f t="shared" ca="1" si="1"/>
        <v/>
      </c>
    </row>
    <row r="92" spans="2:6" x14ac:dyDescent="0.25">
      <c r="B92" t="s">
        <v>84</v>
      </c>
      <c r="C92" t="s">
        <v>8</v>
      </c>
      <c r="D92" s="1">
        <v>43305</v>
      </c>
      <c r="E92" s="2"/>
      <c r="F92" s="3" t="str">
        <f t="shared" ca="1" si="1"/>
        <v/>
      </c>
    </row>
    <row r="93" spans="2:6" x14ac:dyDescent="0.25">
      <c r="B93" t="s">
        <v>85</v>
      </c>
      <c r="C93" t="s">
        <v>12</v>
      </c>
      <c r="D93" s="1">
        <v>43236</v>
      </c>
      <c r="E93" s="2"/>
      <c r="F93" s="3" t="str">
        <f t="shared" ca="1" si="1"/>
        <v/>
      </c>
    </row>
    <row r="94" spans="2:6" x14ac:dyDescent="0.25">
      <c r="B94" t="s">
        <v>86</v>
      </c>
      <c r="C94" t="s">
        <v>5</v>
      </c>
      <c r="D94" s="1">
        <v>43921</v>
      </c>
      <c r="E94" s="2"/>
      <c r="F94" s="3" t="str">
        <f t="shared" ca="1" si="1"/>
        <v/>
      </c>
    </row>
    <row r="95" spans="2:6" x14ac:dyDescent="0.25">
      <c r="B95" t="s">
        <v>87</v>
      </c>
      <c r="C95" t="s">
        <v>3</v>
      </c>
      <c r="D95" s="1">
        <v>43381</v>
      </c>
      <c r="E95" s="2"/>
      <c r="F95" s="3" t="str">
        <f t="shared" ca="1" si="1"/>
        <v/>
      </c>
    </row>
    <row r="96" spans="2:6" x14ac:dyDescent="0.25">
      <c r="B96" t="s">
        <v>88</v>
      </c>
      <c r="C96" t="s">
        <v>5</v>
      </c>
      <c r="D96" s="1">
        <v>43738</v>
      </c>
      <c r="E96" s="2"/>
      <c r="F96" s="3" t="str">
        <f t="shared" ca="1" si="1"/>
        <v/>
      </c>
    </row>
    <row r="97" spans="2:6" x14ac:dyDescent="0.25">
      <c r="B97" t="s">
        <v>89</v>
      </c>
      <c r="C97" t="s">
        <v>8</v>
      </c>
      <c r="D97" s="1">
        <v>43433</v>
      </c>
      <c r="E97" s="2"/>
      <c r="F97" s="3" t="str">
        <f t="shared" ca="1" si="1"/>
        <v/>
      </c>
    </row>
    <row r="98" spans="2:6" x14ac:dyDescent="0.25">
      <c r="B98" t="s">
        <v>90</v>
      </c>
      <c r="C98" t="s">
        <v>3</v>
      </c>
      <c r="D98" s="1">
        <v>43206</v>
      </c>
      <c r="E98" s="2"/>
      <c r="F98" s="3" t="str">
        <f t="shared" ca="1" si="1"/>
        <v/>
      </c>
    </row>
    <row r="99" spans="2:6" x14ac:dyDescent="0.25">
      <c r="B99" t="s">
        <v>91</v>
      </c>
      <c r="C99" t="s">
        <v>3</v>
      </c>
      <c r="D99" s="1">
        <v>43793</v>
      </c>
      <c r="E99" s="2"/>
      <c r="F99" s="3" t="str">
        <f t="shared" ca="1" si="1"/>
        <v/>
      </c>
    </row>
    <row r="100" spans="2:6" x14ac:dyDescent="0.25">
      <c r="B100" t="s">
        <v>92</v>
      </c>
      <c r="C100" t="s">
        <v>5</v>
      </c>
      <c r="D100" s="1">
        <v>43877</v>
      </c>
      <c r="E100" s="2"/>
      <c r="F100" s="3" t="str">
        <f t="shared" ca="1" si="1"/>
        <v/>
      </c>
    </row>
    <row r="101" spans="2:6" x14ac:dyDescent="0.25">
      <c r="B101" t="s">
        <v>93</v>
      </c>
      <c r="C101" t="s">
        <v>12</v>
      </c>
      <c r="D101" s="1">
        <v>43959</v>
      </c>
      <c r="E101" s="2"/>
      <c r="F101" s="3" t="str">
        <f t="shared" ca="1" si="1"/>
        <v/>
      </c>
    </row>
    <row r="102" spans="2:6" x14ac:dyDescent="0.25">
      <c r="B102" t="s">
        <v>94</v>
      </c>
      <c r="C102" t="s">
        <v>8</v>
      </c>
      <c r="D102" s="1">
        <v>43953</v>
      </c>
      <c r="E102" s="2"/>
      <c r="F102" s="3" t="str">
        <f t="shared" ca="1" si="1"/>
        <v/>
      </c>
    </row>
    <row r="103" spans="2:6" x14ac:dyDescent="0.25">
      <c r="B103" t="s">
        <v>95</v>
      </c>
      <c r="C103" t="s">
        <v>8</v>
      </c>
      <c r="D103" s="1">
        <v>43171</v>
      </c>
      <c r="E103" s="2"/>
      <c r="F103" s="3" t="str">
        <f t="shared" ca="1" si="1"/>
        <v/>
      </c>
    </row>
    <row r="104" spans="2:6" x14ac:dyDescent="0.25">
      <c r="B104" t="s">
        <v>96</v>
      </c>
      <c r="C104" t="s">
        <v>3</v>
      </c>
      <c r="D104" s="1">
        <v>43369</v>
      </c>
      <c r="E104" s="2"/>
      <c r="F104" s="3" t="str">
        <f t="shared" ca="1" si="1"/>
        <v/>
      </c>
    </row>
    <row r="105" spans="2:6" x14ac:dyDescent="0.25">
      <c r="B105" t="s">
        <v>97</v>
      </c>
      <c r="C105" t="s">
        <v>5</v>
      </c>
      <c r="D105" s="1">
        <v>43953</v>
      </c>
      <c r="E105" s="2"/>
      <c r="F105" s="3" t="str">
        <f t="shared" ca="1" si="1"/>
        <v/>
      </c>
    </row>
    <row r="106" spans="2:6" x14ac:dyDescent="0.25">
      <c r="B106" t="s">
        <v>98</v>
      </c>
      <c r="C106" t="s">
        <v>8</v>
      </c>
      <c r="D106" s="1">
        <v>43764</v>
      </c>
      <c r="E106" s="2"/>
      <c r="F106" s="3" t="str">
        <f t="shared" ca="1" si="1"/>
        <v/>
      </c>
    </row>
    <row r="107" spans="2:6" x14ac:dyDescent="0.25">
      <c r="B107" t="s">
        <v>99</v>
      </c>
      <c r="C107" t="s">
        <v>3</v>
      </c>
      <c r="D107" s="1">
        <v>43179</v>
      </c>
      <c r="E107" s="2"/>
      <c r="F107" s="3" t="str">
        <f t="shared" ca="1" si="1"/>
        <v/>
      </c>
    </row>
    <row r="108" spans="2:6" x14ac:dyDescent="0.25">
      <c r="B108" t="s">
        <v>100</v>
      </c>
      <c r="C108" t="s">
        <v>5</v>
      </c>
      <c r="D108" s="1">
        <v>43765</v>
      </c>
      <c r="E108" s="2"/>
      <c r="F108" s="3" t="str">
        <f t="shared" ca="1" si="1"/>
        <v/>
      </c>
    </row>
    <row r="109" spans="2:6" x14ac:dyDescent="0.25">
      <c r="B109" t="s">
        <v>101</v>
      </c>
      <c r="C109" t="s">
        <v>8</v>
      </c>
      <c r="D109" s="1">
        <v>43121</v>
      </c>
      <c r="E109" s="2"/>
      <c r="F109" s="3" t="str">
        <f t="shared" ca="1" si="1"/>
        <v/>
      </c>
    </row>
    <row r="110" spans="2:6" x14ac:dyDescent="0.25">
      <c r="B110" t="s">
        <v>102</v>
      </c>
      <c r="C110" t="s">
        <v>8</v>
      </c>
      <c r="D110" s="1">
        <v>43425</v>
      </c>
      <c r="E110" s="2"/>
      <c r="F110" s="3" t="str">
        <f t="shared" ca="1" si="1"/>
        <v/>
      </c>
    </row>
    <row r="111" spans="2:6" x14ac:dyDescent="0.25">
      <c r="B111" t="s">
        <v>103</v>
      </c>
      <c r="C111" t="s">
        <v>5</v>
      </c>
      <c r="D111" s="1">
        <v>43244</v>
      </c>
      <c r="E111" s="2"/>
      <c r="F111" s="3" t="str">
        <f t="shared" ca="1" si="1"/>
        <v/>
      </c>
    </row>
    <row r="112" spans="2:6" x14ac:dyDescent="0.25">
      <c r="B112" t="s">
        <v>104</v>
      </c>
      <c r="C112" t="s">
        <v>1</v>
      </c>
      <c r="D112" s="1">
        <v>43502</v>
      </c>
      <c r="E112" s="2"/>
      <c r="F112" s="3" t="str">
        <f t="shared" ca="1" si="1"/>
        <v/>
      </c>
    </row>
    <row r="113" spans="2:6" x14ac:dyDescent="0.25">
      <c r="B113" t="s">
        <v>105</v>
      </c>
      <c r="C113" t="s">
        <v>5</v>
      </c>
      <c r="D113" s="1">
        <v>43585</v>
      </c>
      <c r="E113" s="2"/>
      <c r="F113" s="3" t="str">
        <f t="shared" ca="1" si="1"/>
        <v/>
      </c>
    </row>
    <row r="114" spans="2:6" x14ac:dyDescent="0.25">
      <c r="B114" t="s">
        <v>106</v>
      </c>
      <c r="C114" t="s">
        <v>1</v>
      </c>
      <c r="D114" s="1">
        <v>43616</v>
      </c>
      <c r="E114" s="2"/>
      <c r="F114" s="3" t="str">
        <f t="shared" ca="1" si="1"/>
        <v/>
      </c>
    </row>
    <row r="115" spans="2:6" x14ac:dyDescent="0.25">
      <c r="B115" t="s">
        <v>107</v>
      </c>
      <c r="C115" t="s">
        <v>1</v>
      </c>
      <c r="D115" s="1">
        <v>43454</v>
      </c>
      <c r="E115" s="2"/>
      <c r="F115" s="3" t="str">
        <f t="shared" ca="1" si="1"/>
        <v/>
      </c>
    </row>
    <row r="116" spans="2:6" x14ac:dyDescent="0.25">
      <c r="B116" t="s">
        <v>108</v>
      </c>
      <c r="C116" t="s">
        <v>8</v>
      </c>
      <c r="D116" s="1">
        <v>43793</v>
      </c>
      <c r="E116" s="2"/>
      <c r="F116" s="3" t="str">
        <f t="shared" ca="1" si="1"/>
        <v/>
      </c>
    </row>
    <row r="117" spans="2:6" x14ac:dyDescent="0.25">
      <c r="B117" t="s">
        <v>109</v>
      </c>
      <c r="C117" t="s">
        <v>5</v>
      </c>
      <c r="D117" s="1">
        <v>43818</v>
      </c>
      <c r="E117" s="2"/>
      <c r="F117" s="3" t="str">
        <f t="shared" ca="1" si="1"/>
        <v/>
      </c>
    </row>
    <row r="118" spans="2:6" x14ac:dyDescent="0.25">
      <c r="B118" t="s">
        <v>110</v>
      </c>
      <c r="C118" t="s">
        <v>12</v>
      </c>
      <c r="D118" s="1">
        <v>43488</v>
      </c>
      <c r="E118" s="2"/>
      <c r="F118" s="3" t="str">
        <f t="shared" ca="1" si="1"/>
        <v/>
      </c>
    </row>
    <row r="119" spans="2:6" x14ac:dyDescent="0.25">
      <c r="B119" t="s">
        <v>111</v>
      </c>
      <c r="C119" t="s">
        <v>1</v>
      </c>
      <c r="D119" s="1">
        <v>43778</v>
      </c>
      <c r="E119" s="2"/>
      <c r="F119" s="3" t="str">
        <f t="shared" ca="1" si="1"/>
        <v/>
      </c>
    </row>
    <row r="120" spans="2:6" x14ac:dyDescent="0.25">
      <c r="B120" t="s">
        <v>112</v>
      </c>
      <c r="C120" t="s">
        <v>1</v>
      </c>
      <c r="D120" s="1">
        <v>43710</v>
      </c>
      <c r="E120" s="2"/>
      <c r="F120" s="3" t="str">
        <f t="shared" ca="1" si="1"/>
        <v/>
      </c>
    </row>
    <row r="121" spans="2:6" x14ac:dyDescent="0.25">
      <c r="B121" t="s">
        <v>113</v>
      </c>
      <c r="C121" t="s">
        <v>8</v>
      </c>
      <c r="D121" s="1">
        <v>43714</v>
      </c>
      <c r="E121" s="2"/>
      <c r="F121" s="3" t="str">
        <f t="shared" ca="1" si="1"/>
        <v/>
      </c>
    </row>
    <row r="122" spans="2:6" x14ac:dyDescent="0.25">
      <c r="B122" t="s">
        <v>114</v>
      </c>
      <c r="C122" t="s">
        <v>12</v>
      </c>
      <c r="D122" s="1">
        <v>43383</v>
      </c>
      <c r="E122" s="2"/>
      <c r="F122" s="3" t="str">
        <f t="shared" ca="1" si="1"/>
        <v/>
      </c>
    </row>
    <row r="123" spans="2:6" x14ac:dyDescent="0.25">
      <c r="B123" t="s">
        <v>115</v>
      </c>
      <c r="C123" t="s">
        <v>3</v>
      </c>
      <c r="D123" s="1">
        <v>43334</v>
      </c>
      <c r="E123" s="2"/>
      <c r="F123" s="3" t="str">
        <f t="shared" ca="1" si="1"/>
        <v/>
      </c>
    </row>
    <row r="124" spans="2:6" x14ac:dyDescent="0.25">
      <c r="B124" t="s">
        <v>116</v>
      </c>
      <c r="C124" t="s">
        <v>3</v>
      </c>
      <c r="D124" s="1">
        <v>43486</v>
      </c>
      <c r="E124" s="2"/>
      <c r="F124" s="3" t="str">
        <f t="shared" ca="1" si="1"/>
        <v/>
      </c>
    </row>
    <row r="125" spans="2:6" x14ac:dyDescent="0.25">
      <c r="B125" t="s">
        <v>117</v>
      </c>
      <c r="C125" t="s">
        <v>5</v>
      </c>
      <c r="D125" s="1">
        <v>43741</v>
      </c>
      <c r="E125" s="2"/>
      <c r="F125" s="3" t="str">
        <f t="shared" ca="1" si="1"/>
        <v/>
      </c>
    </row>
    <row r="126" spans="2:6" x14ac:dyDescent="0.25">
      <c r="B126" t="s">
        <v>118</v>
      </c>
      <c r="C126" t="s">
        <v>3</v>
      </c>
      <c r="D126" s="1">
        <v>43909</v>
      </c>
      <c r="E126" s="2"/>
      <c r="F126" s="3" t="str">
        <f t="shared" ca="1" si="1"/>
        <v/>
      </c>
    </row>
    <row r="127" spans="2:6" x14ac:dyDescent="0.25">
      <c r="B127" t="s">
        <v>119</v>
      </c>
      <c r="C127" t="s">
        <v>1</v>
      </c>
      <c r="D127" s="1">
        <v>43236</v>
      </c>
      <c r="E127" s="2"/>
      <c r="F127" s="3" t="str">
        <f t="shared" ca="1" si="1"/>
        <v/>
      </c>
    </row>
    <row r="128" spans="2:6" x14ac:dyDescent="0.25">
      <c r="B128" t="s">
        <v>120</v>
      </c>
      <c r="C128" t="s">
        <v>5</v>
      </c>
      <c r="D128" s="1">
        <v>43898</v>
      </c>
      <c r="E128" s="2"/>
      <c r="F128" s="3" t="str">
        <f t="shared" ca="1" si="1"/>
        <v/>
      </c>
    </row>
    <row r="129" spans="2:6" x14ac:dyDescent="0.25">
      <c r="B129" t="s">
        <v>121</v>
      </c>
      <c r="C129" t="s">
        <v>5</v>
      </c>
      <c r="D129" s="1">
        <v>43230</v>
      </c>
      <c r="E129" s="2"/>
      <c r="F129" s="3" t="str">
        <f t="shared" ca="1" si="1"/>
        <v/>
      </c>
    </row>
    <row r="130" spans="2:6" x14ac:dyDescent="0.25">
      <c r="B130" t="s">
        <v>122</v>
      </c>
      <c r="C130" t="s">
        <v>1</v>
      </c>
      <c r="D130" s="1">
        <v>43361</v>
      </c>
      <c r="E130" s="2"/>
      <c r="F130" s="3" t="str">
        <f t="shared" ca="1" si="1"/>
        <v/>
      </c>
    </row>
    <row r="131" spans="2:6" x14ac:dyDescent="0.25">
      <c r="B131" t="s">
        <v>123</v>
      </c>
      <c r="C131" t="s">
        <v>1</v>
      </c>
      <c r="D131" s="1">
        <v>43253</v>
      </c>
      <c r="E131" s="2"/>
      <c r="F131" s="3" t="str">
        <f t="shared" ca="1" si="1"/>
        <v/>
      </c>
    </row>
    <row r="132" spans="2:6" x14ac:dyDescent="0.25">
      <c r="B132" t="s">
        <v>124</v>
      </c>
      <c r="C132" t="s">
        <v>3</v>
      </c>
      <c r="D132" s="1">
        <v>43758</v>
      </c>
      <c r="E132" s="2"/>
      <c r="F132" s="3" t="str">
        <f t="shared" ca="1" si="1"/>
        <v/>
      </c>
    </row>
    <row r="133" spans="2:6" x14ac:dyDescent="0.25">
      <c r="B133" t="s">
        <v>125</v>
      </c>
      <c r="C133" t="s">
        <v>3</v>
      </c>
      <c r="D133" s="1">
        <v>43593</v>
      </c>
      <c r="E133" s="2"/>
      <c r="F133" s="3" t="str">
        <f t="shared" ca="1" si="1"/>
        <v/>
      </c>
    </row>
    <row r="134" spans="2:6" x14ac:dyDescent="0.25">
      <c r="B134" t="s">
        <v>126</v>
      </c>
      <c r="C134" t="s">
        <v>1</v>
      </c>
      <c r="D134" s="1">
        <v>43292</v>
      </c>
      <c r="E134" s="2"/>
      <c r="F134" s="3" t="str">
        <f t="shared" ca="1" si="1"/>
        <v/>
      </c>
    </row>
    <row r="135" spans="2:6" x14ac:dyDescent="0.25">
      <c r="B135" t="s">
        <v>127</v>
      </c>
      <c r="C135" t="s">
        <v>1</v>
      </c>
      <c r="D135" s="1">
        <v>43829</v>
      </c>
      <c r="E135" s="2"/>
      <c r="F135" s="3" t="str">
        <f t="shared" ca="1" si="1"/>
        <v/>
      </c>
    </row>
    <row r="136" spans="2:6" x14ac:dyDescent="0.25">
      <c r="B136" t="s">
        <v>128</v>
      </c>
      <c r="C136" t="s">
        <v>8</v>
      </c>
      <c r="D136" s="1">
        <v>43787</v>
      </c>
      <c r="E136" s="2"/>
      <c r="F136" s="3" t="str">
        <f t="shared" ca="1" si="1"/>
        <v/>
      </c>
    </row>
    <row r="137" spans="2:6" x14ac:dyDescent="0.25">
      <c r="B137" t="s">
        <v>129</v>
      </c>
      <c r="C137" t="s">
        <v>12</v>
      </c>
      <c r="D137" s="1">
        <v>43864</v>
      </c>
      <c r="E137" s="2"/>
      <c r="F137" s="3" t="str">
        <f t="shared" ca="1" si="1"/>
        <v/>
      </c>
    </row>
    <row r="138" spans="2:6" x14ac:dyDescent="0.25">
      <c r="B138" t="s">
        <v>130</v>
      </c>
      <c r="C138" t="s">
        <v>12</v>
      </c>
      <c r="D138" s="1">
        <v>43954</v>
      </c>
      <c r="E138" s="2"/>
      <c r="F138" s="3" t="str">
        <f t="shared" ca="1" si="1"/>
        <v/>
      </c>
    </row>
    <row r="139" spans="2:6" x14ac:dyDescent="0.25">
      <c r="B139" t="s">
        <v>131</v>
      </c>
      <c r="C139" t="s">
        <v>12</v>
      </c>
      <c r="D139" s="1">
        <v>43321</v>
      </c>
      <c r="E139" s="2"/>
      <c r="F139" s="3" t="str">
        <f t="shared" ca="1" si="1"/>
        <v/>
      </c>
    </row>
    <row r="140" spans="2:6" x14ac:dyDescent="0.25">
      <c r="B140" t="s">
        <v>132</v>
      </c>
      <c r="C140" t="s">
        <v>3</v>
      </c>
      <c r="D140" s="1">
        <v>43728</v>
      </c>
      <c r="E140" s="2"/>
      <c r="F140" s="3" t="str">
        <f t="shared" ca="1" si="1"/>
        <v/>
      </c>
    </row>
    <row r="141" spans="2:6" x14ac:dyDescent="0.25">
      <c r="B141" t="s">
        <v>133</v>
      </c>
      <c r="C141" t="s">
        <v>1</v>
      </c>
      <c r="D141" s="1">
        <v>43714</v>
      </c>
      <c r="E141" s="2"/>
      <c r="F141" s="3" t="str">
        <f t="shared" ca="1" si="1"/>
        <v/>
      </c>
    </row>
    <row r="142" spans="2:6" x14ac:dyDescent="0.25">
      <c r="B142" t="s">
        <v>134</v>
      </c>
      <c r="C142" t="s">
        <v>1</v>
      </c>
      <c r="D142" s="1">
        <v>43147</v>
      </c>
      <c r="E142" s="2"/>
      <c r="F142" s="3" t="str">
        <f t="shared" ref="F142:F205" ca="1" si="2">IF(E142="","",IF(E142=(TODAY()-D142)/365*6,"✔","✘"))</f>
        <v/>
      </c>
    </row>
    <row r="143" spans="2:6" x14ac:dyDescent="0.25">
      <c r="B143" t="s">
        <v>135</v>
      </c>
      <c r="C143" t="s">
        <v>12</v>
      </c>
      <c r="D143" s="1">
        <v>43140</v>
      </c>
      <c r="E143" s="2"/>
      <c r="F143" s="3" t="str">
        <f t="shared" ca="1" si="2"/>
        <v/>
      </c>
    </row>
    <row r="144" spans="2:6" x14ac:dyDescent="0.25">
      <c r="B144" t="s">
        <v>136</v>
      </c>
      <c r="C144" t="s">
        <v>5</v>
      </c>
      <c r="D144" s="1">
        <v>43837</v>
      </c>
      <c r="E144" s="2"/>
      <c r="F144" s="3" t="str">
        <f t="shared" ca="1" si="2"/>
        <v/>
      </c>
    </row>
    <row r="145" spans="2:6" x14ac:dyDescent="0.25">
      <c r="B145" t="s">
        <v>137</v>
      </c>
      <c r="C145" t="s">
        <v>1</v>
      </c>
      <c r="D145" s="1">
        <v>43570</v>
      </c>
      <c r="E145" s="2"/>
      <c r="F145" s="3" t="str">
        <f t="shared" ca="1" si="2"/>
        <v/>
      </c>
    </row>
    <row r="146" spans="2:6" x14ac:dyDescent="0.25">
      <c r="B146" t="s">
        <v>138</v>
      </c>
      <c r="C146" t="s">
        <v>12</v>
      </c>
      <c r="D146" s="1">
        <v>43458</v>
      </c>
      <c r="E146" s="2"/>
      <c r="F146" s="3" t="str">
        <f t="shared" ca="1" si="2"/>
        <v/>
      </c>
    </row>
    <row r="147" spans="2:6" x14ac:dyDescent="0.25">
      <c r="B147" t="s">
        <v>139</v>
      </c>
      <c r="C147" t="s">
        <v>1</v>
      </c>
      <c r="D147" s="1">
        <v>43586</v>
      </c>
      <c r="E147" s="2"/>
      <c r="F147" s="3" t="str">
        <f t="shared" ca="1" si="2"/>
        <v/>
      </c>
    </row>
    <row r="148" spans="2:6" x14ac:dyDescent="0.25">
      <c r="B148" t="s">
        <v>140</v>
      </c>
      <c r="C148" t="s">
        <v>8</v>
      </c>
      <c r="D148" s="1">
        <v>43633</v>
      </c>
      <c r="E148" s="2"/>
      <c r="F148" s="3" t="str">
        <f t="shared" ca="1" si="2"/>
        <v/>
      </c>
    </row>
    <row r="149" spans="2:6" x14ac:dyDescent="0.25">
      <c r="B149" t="s">
        <v>141</v>
      </c>
      <c r="C149" t="s">
        <v>1</v>
      </c>
      <c r="D149" s="1">
        <v>43105</v>
      </c>
      <c r="E149" s="2"/>
      <c r="F149" s="3" t="str">
        <f t="shared" ca="1" si="2"/>
        <v/>
      </c>
    </row>
    <row r="150" spans="2:6" x14ac:dyDescent="0.25">
      <c r="B150" t="s">
        <v>142</v>
      </c>
      <c r="C150" t="s">
        <v>5</v>
      </c>
      <c r="D150" s="1">
        <v>43472</v>
      </c>
      <c r="E150" s="2"/>
      <c r="F150" s="3" t="str">
        <f t="shared" ca="1" si="2"/>
        <v/>
      </c>
    </row>
    <row r="151" spans="2:6" x14ac:dyDescent="0.25">
      <c r="B151" t="s">
        <v>143</v>
      </c>
      <c r="C151" t="s">
        <v>12</v>
      </c>
      <c r="D151" s="1">
        <v>43656</v>
      </c>
      <c r="E151" s="2"/>
      <c r="F151" s="3" t="str">
        <f t="shared" ca="1" si="2"/>
        <v/>
      </c>
    </row>
    <row r="152" spans="2:6" x14ac:dyDescent="0.25">
      <c r="B152" t="s">
        <v>144</v>
      </c>
      <c r="C152" t="s">
        <v>1</v>
      </c>
      <c r="D152" s="1">
        <v>43417</v>
      </c>
      <c r="E152" s="2"/>
      <c r="F152" s="3" t="str">
        <f t="shared" ca="1" si="2"/>
        <v/>
      </c>
    </row>
    <row r="153" spans="2:6" x14ac:dyDescent="0.25">
      <c r="B153" t="s">
        <v>145</v>
      </c>
      <c r="C153" t="s">
        <v>5</v>
      </c>
      <c r="D153" s="1">
        <v>43352</v>
      </c>
      <c r="E153" s="2"/>
      <c r="F153" s="3" t="str">
        <f t="shared" ca="1" si="2"/>
        <v/>
      </c>
    </row>
    <row r="154" spans="2:6" x14ac:dyDescent="0.25">
      <c r="B154" t="s">
        <v>146</v>
      </c>
      <c r="C154" t="s">
        <v>1</v>
      </c>
      <c r="D154" s="1">
        <v>43829</v>
      </c>
      <c r="E154" s="2"/>
      <c r="F154" s="3" t="str">
        <f t="shared" ca="1" si="2"/>
        <v/>
      </c>
    </row>
    <row r="155" spans="2:6" x14ac:dyDescent="0.25">
      <c r="B155" t="s">
        <v>147</v>
      </c>
      <c r="C155" t="s">
        <v>1</v>
      </c>
      <c r="D155" s="1">
        <v>43958</v>
      </c>
      <c r="E155" s="2"/>
      <c r="F155" s="3" t="str">
        <f t="shared" ca="1" si="2"/>
        <v/>
      </c>
    </row>
    <row r="156" spans="2:6" x14ac:dyDescent="0.25">
      <c r="B156" t="s">
        <v>148</v>
      </c>
      <c r="C156" t="s">
        <v>1</v>
      </c>
      <c r="D156" s="1">
        <v>43081</v>
      </c>
      <c r="E156" s="2"/>
      <c r="F156" s="3" t="str">
        <f t="shared" ca="1" si="2"/>
        <v/>
      </c>
    </row>
    <row r="157" spans="2:6" x14ac:dyDescent="0.25">
      <c r="B157" t="s">
        <v>149</v>
      </c>
      <c r="C157" t="s">
        <v>1</v>
      </c>
      <c r="D157" s="1">
        <v>43607</v>
      </c>
      <c r="E157" s="2"/>
      <c r="F157" s="3" t="str">
        <f t="shared" ca="1" si="2"/>
        <v/>
      </c>
    </row>
    <row r="158" spans="2:6" x14ac:dyDescent="0.25">
      <c r="B158" t="s">
        <v>150</v>
      </c>
      <c r="C158" t="s">
        <v>1</v>
      </c>
      <c r="D158" s="1">
        <v>43883</v>
      </c>
      <c r="E158" s="2"/>
      <c r="F158" s="3" t="str">
        <f t="shared" ca="1" si="2"/>
        <v/>
      </c>
    </row>
    <row r="159" spans="2:6" x14ac:dyDescent="0.25">
      <c r="B159" t="s">
        <v>151</v>
      </c>
      <c r="C159" t="s">
        <v>1</v>
      </c>
      <c r="D159" s="1">
        <v>43747</v>
      </c>
      <c r="E159" s="2"/>
      <c r="F159" s="3" t="str">
        <f t="shared" ca="1" si="2"/>
        <v/>
      </c>
    </row>
    <row r="160" spans="2:6" x14ac:dyDescent="0.25">
      <c r="B160" t="s">
        <v>152</v>
      </c>
      <c r="C160" t="s">
        <v>8</v>
      </c>
      <c r="D160" s="1">
        <v>43643</v>
      </c>
      <c r="E160" s="2"/>
      <c r="F160" s="3" t="str">
        <f t="shared" ca="1" si="2"/>
        <v/>
      </c>
    </row>
    <row r="161" spans="2:6" x14ac:dyDescent="0.25">
      <c r="B161" t="s">
        <v>153</v>
      </c>
      <c r="C161" t="s">
        <v>8</v>
      </c>
      <c r="D161" s="1">
        <v>43585</v>
      </c>
      <c r="E161" s="2"/>
      <c r="F161" s="3" t="str">
        <f t="shared" ca="1" si="2"/>
        <v/>
      </c>
    </row>
    <row r="162" spans="2:6" x14ac:dyDescent="0.25">
      <c r="B162" t="s">
        <v>154</v>
      </c>
      <c r="C162" t="s">
        <v>8</v>
      </c>
      <c r="D162" s="1">
        <v>43608</v>
      </c>
      <c r="E162" s="2"/>
      <c r="F162" s="3" t="str">
        <f t="shared" ca="1" si="2"/>
        <v/>
      </c>
    </row>
    <row r="163" spans="2:6" x14ac:dyDescent="0.25">
      <c r="B163" t="s">
        <v>155</v>
      </c>
      <c r="C163" t="s">
        <v>1</v>
      </c>
      <c r="D163" s="1">
        <v>43857</v>
      </c>
      <c r="E163" s="2"/>
      <c r="F163" s="3" t="str">
        <f t="shared" ca="1" si="2"/>
        <v/>
      </c>
    </row>
    <row r="164" spans="2:6" x14ac:dyDescent="0.25">
      <c r="B164" t="s">
        <v>156</v>
      </c>
      <c r="C164" t="s">
        <v>3</v>
      </c>
      <c r="D164" s="1">
        <v>43931</v>
      </c>
      <c r="E164" s="2"/>
      <c r="F164" s="3" t="str">
        <f t="shared" ca="1" si="2"/>
        <v/>
      </c>
    </row>
    <row r="165" spans="2:6" x14ac:dyDescent="0.25">
      <c r="B165" t="s">
        <v>157</v>
      </c>
      <c r="C165" t="s">
        <v>1</v>
      </c>
      <c r="D165" s="1">
        <v>43933</v>
      </c>
      <c r="E165" s="2"/>
      <c r="F165" s="3" t="str">
        <f t="shared" ca="1" si="2"/>
        <v/>
      </c>
    </row>
    <row r="166" spans="2:6" x14ac:dyDescent="0.25">
      <c r="B166" t="s">
        <v>158</v>
      </c>
      <c r="C166" t="s">
        <v>8</v>
      </c>
      <c r="D166" s="1">
        <v>43186</v>
      </c>
      <c r="E166" s="2"/>
      <c r="F166" s="3" t="str">
        <f t="shared" ca="1" si="2"/>
        <v/>
      </c>
    </row>
    <row r="167" spans="2:6" x14ac:dyDescent="0.25">
      <c r="B167" t="s">
        <v>159</v>
      </c>
      <c r="C167" t="s">
        <v>5</v>
      </c>
      <c r="D167" s="1">
        <v>43302</v>
      </c>
      <c r="E167" s="2"/>
      <c r="F167" s="3" t="str">
        <f t="shared" ca="1" si="2"/>
        <v/>
      </c>
    </row>
    <row r="168" spans="2:6" x14ac:dyDescent="0.25">
      <c r="B168" t="s">
        <v>160</v>
      </c>
      <c r="C168" t="s">
        <v>12</v>
      </c>
      <c r="D168" s="1">
        <v>43525</v>
      </c>
      <c r="E168" s="2"/>
      <c r="F168" s="3" t="str">
        <f t="shared" ca="1" si="2"/>
        <v/>
      </c>
    </row>
    <row r="169" spans="2:6" x14ac:dyDescent="0.25">
      <c r="B169" t="s">
        <v>161</v>
      </c>
      <c r="C169" t="s">
        <v>12</v>
      </c>
      <c r="D169" s="1">
        <v>43102</v>
      </c>
      <c r="E169" s="2"/>
      <c r="F169" s="3" t="str">
        <f t="shared" ca="1" si="2"/>
        <v/>
      </c>
    </row>
    <row r="170" spans="2:6" x14ac:dyDescent="0.25">
      <c r="B170" t="s">
        <v>162</v>
      </c>
      <c r="C170" t="s">
        <v>3</v>
      </c>
      <c r="D170" s="1">
        <v>43578</v>
      </c>
      <c r="E170" s="2"/>
      <c r="F170" s="3" t="str">
        <f t="shared" ca="1" si="2"/>
        <v/>
      </c>
    </row>
    <row r="171" spans="2:6" x14ac:dyDescent="0.25">
      <c r="B171" t="s">
        <v>163</v>
      </c>
      <c r="C171" t="s">
        <v>5</v>
      </c>
      <c r="D171" s="1">
        <v>43231</v>
      </c>
      <c r="E171" s="2"/>
      <c r="F171" s="3" t="str">
        <f t="shared" ca="1" si="2"/>
        <v/>
      </c>
    </row>
    <row r="172" spans="2:6" x14ac:dyDescent="0.25">
      <c r="B172" t="s">
        <v>164</v>
      </c>
      <c r="C172" t="s">
        <v>12</v>
      </c>
      <c r="D172" s="1">
        <v>43839</v>
      </c>
      <c r="E172" s="2"/>
      <c r="F172" s="3" t="str">
        <f t="shared" ca="1" si="2"/>
        <v/>
      </c>
    </row>
    <row r="173" spans="2:6" x14ac:dyDescent="0.25">
      <c r="B173" t="s">
        <v>165</v>
      </c>
      <c r="C173" t="s">
        <v>5</v>
      </c>
      <c r="D173" s="1">
        <v>43947</v>
      </c>
      <c r="E173" s="2"/>
      <c r="F173" s="3" t="str">
        <f t="shared" ca="1" si="2"/>
        <v/>
      </c>
    </row>
    <row r="174" spans="2:6" x14ac:dyDescent="0.25">
      <c r="B174" t="s">
        <v>166</v>
      </c>
      <c r="C174" t="s">
        <v>5</v>
      </c>
      <c r="D174" s="1">
        <v>43551</v>
      </c>
      <c r="E174" s="2"/>
      <c r="F174" s="3" t="str">
        <f t="shared" ca="1" si="2"/>
        <v/>
      </c>
    </row>
    <row r="175" spans="2:6" x14ac:dyDescent="0.25">
      <c r="B175" t="s">
        <v>167</v>
      </c>
      <c r="C175" t="s">
        <v>8</v>
      </c>
      <c r="D175" s="1">
        <v>43342</v>
      </c>
      <c r="E175" s="2"/>
      <c r="F175" s="3" t="str">
        <f t="shared" ca="1" si="2"/>
        <v/>
      </c>
    </row>
    <row r="176" spans="2:6" x14ac:dyDescent="0.25">
      <c r="B176" t="s">
        <v>168</v>
      </c>
      <c r="C176" t="s">
        <v>12</v>
      </c>
      <c r="D176" s="1">
        <v>43121</v>
      </c>
      <c r="E176" s="2"/>
      <c r="F176" s="3" t="str">
        <f t="shared" ca="1" si="2"/>
        <v/>
      </c>
    </row>
    <row r="177" spans="2:6" x14ac:dyDescent="0.25">
      <c r="B177" t="s">
        <v>169</v>
      </c>
      <c r="C177" t="s">
        <v>1</v>
      </c>
      <c r="D177" s="1">
        <v>43235</v>
      </c>
      <c r="E177" s="2"/>
      <c r="F177" s="3" t="str">
        <f t="shared" ca="1" si="2"/>
        <v/>
      </c>
    </row>
    <row r="178" spans="2:6" x14ac:dyDescent="0.25">
      <c r="B178" t="s">
        <v>170</v>
      </c>
      <c r="C178" t="s">
        <v>1</v>
      </c>
      <c r="D178" s="1">
        <v>43571</v>
      </c>
      <c r="E178" s="2"/>
      <c r="F178" s="3" t="str">
        <f t="shared" ca="1" si="2"/>
        <v/>
      </c>
    </row>
    <row r="179" spans="2:6" x14ac:dyDescent="0.25">
      <c r="B179" t="s">
        <v>171</v>
      </c>
      <c r="C179" t="s">
        <v>3</v>
      </c>
      <c r="D179" s="1">
        <v>43508</v>
      </c>
      <c r="E179" s="2"/>
      <c r="F179" s="3" t="str">
        <f t="shared" ca="1" si="2"/>
        <v/>
      </c>
    </row>
    <row r="180" spans="2:6" x14ac:dyDescent="0.25">
      <c r="B180" t="s">
        <v>172</v>
      </c>
      <c r="C180" t="s">
        <v>3</v>
      </c>
      <c r="D180" s="1">
        <v>43205</v>
      </c>
      <c r="E180" s="2"/>
      <c r="F180" s="3" t="str">
        <f t="shared" ca="1" si="2"/>
        <v/>
      </c>
    </row>
    <row r="181" spans="2:6" x14ac:dyDescent="0.25">
      <c r="B181" t="s">
        <v>173</v>
      </c>
      <c r="C181" t="s">
        <v>12</v>
      </c>
      <c r="D181" s="1">
        <v>43793</v>
      </c>
      <c r="E181" s="2"/>
      <c r="F181" s="3" t="str">
        <f t="shared" ca="1" si="2"/>
        <v/>
      </c>
    </row>
    <row r="182" spans="2:6" x14ac:dyDescent="0.25">
      <c r="B182" t="s">
        <v>174</v>
      </c>
      <c r="C182" t="s">
        <v>3</v>
      </c>
      <c r="D182" s="1">
        <v>43217</v>
      </c>
      <c r="E182" s="2"/>
      <c r="F182" s="3" t="str">
        <f t="shared" ca="1" si="2"/>
        <v/>
      </c>
    </row>
    <row r="183" spans="2:6" x14ac:dyDescent="0.25">
      <c r="B183" t="s">
        <v>175</v>
      </c>
      <c r="C183" t="s">
        <v>8</v>
      </c>
      <c r="D183" s="1">
        <v>43556</v>
      </c>
      <c r="E183" s="2"/>
      <c r="F183" s="3" t="str">
        <f t="shared" ca="1" si="2"/>
        <v/>
      </c>
    </row>
    <row r="184" spans="2:6" x14ac:dyDescent="0.25">
      <c r="B184" t="s">
        <v>176</v>
      </c>
      <c r="C184" t="s">
        <v>8</v>
      </c>
      <c r="D184" s="1">
        <v>43137</v>
      </c>
      <c r="E184" s="2"/>
      <c r="F184" s="3" t="str">
        <f t="shared" ca="1" si="2"/>
        <v/>
      </c>
    </row>
    <row r="185" spans="2:6" x14ac:dyDescent="0.25">
      <c r="B185" t="s">
        <v>177</v>
      </c>
      <c r="C185" t="s">
        <v>8</v>
      </c>
      <c r="D185" s="1">
        <v>43252</v>
      </c>
      <c r="E185" s="2"/>
      <c r="F185" s="3" t="str">
        <f t="shared" ca="1" si="2"/>
        <v/>
      </c>
    </row>
    <row r="186" spans="2:6" x14ac:dyDescent="0.25">
      <c r="B186" t="s">
        <v>178</v>
      </c>
      <c r="C186" t="s">
        <v>1</v>
      </c>
      <c r="D186" s="1">
        <v>43470</v>
      </c>
      <c r="E186" s="2"/>
      <c r="F186" s="3" t="str">
        <f t="shared" ca="1" si="2"/>
        <v/>
      </c>
    </row>
    <row r="187" spans="2:6" x14ac:dyDescent="0.25">
      <c r="B187" t="s">
        <v>179</v>
      </c>
      <c r="C187" t="s">
        <v>3</v>
      </c>
      <c r="D187" s="1">
        <v>43745</v>
      </c>
      <c r="E187" s="2"/>
      <c r="F187" s="3" t="str">
        <f t="shared" ca="1" si="2"/>
        <v/>
      </c>
    </row>
    <row r="188" spans="2:6" x14ac:dyDescent="0.25">
      <c r="B188" t="s">
        <v>180</v>
      </c>
      <c r="C188" t="s">
        <v>1</v>
      </c>
      <c r="D188" s="1">
        <v>43101</v>
      </c>
      <c r="E188" s="2"/>
      <c r="F188" s="3" t="str">
        <f t="shared" ca="1" si="2"/>
        <v/>
      </c>
    </row>
    <row r="189" spans="2:6" x14ac:dyDescent="0.25">
      <c r="B189" t="s">
        <v>181</v>
      </c>
      <c r="C189" t="s">
        <v>12</v>
      </c>
      <c r="D189" s="1">
        <v>43649</v>
      </c>
      <c r="E189" s="2"/>
      <c r="F189" s="3" t="str">
        <f t="shared" ca="1" si="2"/>
        <v/>
      </c>
    </row>
    <row r="190" spans="2:6" x14ac:dyDescent="0.25">
      <c r="B190" t="s">
        <v>182</v>
      </c>
      <c r="C190" t="s">
        <v>5</v>
      </c>
      <c r="D190" s="1">
        <v>43163</v>
      </c>
      <c r="E190" s="2"/>
      <c r="F190" s="3" t="str">
        <f t="shared" ca="1" si="2"/>
        <v/>
      </c>
    </row>
    <row r="191" spans="2:6" x14ac:dyDescent="0.25">
      <c r="B191" t="s">
        <v>183</v>
      </c>
      <c r="C191" t="s">
        <v>8</v>
      </c>
      <c r="D191" s="1">
        <v>43782</v>
      </c>
      <c r="E191" s="2"/>
      <c r="F191" s="3" t="str">
        <f t="shared" ca="1" si="2"/>
        <v/>
      </c>
    </row>
    <row r="192" spans="2:6" x14ac:dyDescent="0.25">
      <c r="B192" t="s">
        <v>184</v>
      </c>
      <c r="C192" t="s">
        <v>1</v>
      </c>
      <c r="D192" s="1">
        <v>43806</v>
      </c>
      <c r="E192" s="2"/>
      <c r="F192" s="3" t="str">
        <f t="shared" ca="1" si="2"/>
        <v/>
      </c>
    </row>
    <row r="193" spans="2:6" x14ac:dyDescent="0.25">
      <c r="B193" t="s">
        <v>185</v>
      </c>
      <c r="C193" t="s">
        <v>3</v>
      </c>
      <c r="D193" s="1">
        <v>43609</v>
      </c>
      <c r="E193" s="2"/>
      <c r="F193" s="3" t="str">
        <f t="shared" ca="1" si="2"/>
        <v/>
      </c>
    </row>
    <row r="194" spans="2:6" x14ac:dyDescent="0.25">
      <c r="B194" t="s">
        <v>186</v>
      </c>
      <c r="C194" t="s">
        <v>8</v>
      </c>
      <c r="D194" s="1">
        <v>43538</v>
      </c>
      <c r="E194" s="2"/>
      <c r="F194" s="3" t="str">
        <f t="shared" ca="1" si="2"/>
        <v/>
      </c>
    </row>
    <row r="195" spans="2:6" x14ac:dyDescent="0.25">
      <c r="B195" t="s">
        <v>187</v>
      </c>
      <c r="C195" t="s">
        <v>5</v>
      </c>
      <c r="D195" s="1">
        <v>43804</v>
      </c>
      <c r="E195" s="2"/>
      <c r="F195" s="3" t="str">
        <f t="shared" ca="1" si="2"/>
        <v/>
      </c>
    </row>
    <row r="196" spans="2:6" x14ac:dyDescent="0.25">
      <c r="B196" t="s">
        <v>188</v>
      </c>
      <c r="C196" t="s">
        <v>12</v>
      </c>
      <c r="D196" s="1">
        <v>43319</v>
      </c>
      <c r="E196" s="2"/>
      <c r="F196" s="3" t="str">
        <f t="shared" ca="1" si="2"/>
        <v/>
      </c>
    </row>
    <row r="197" spans="2:6" x14ac:dyDescent="0.25">
      <c r="B197" t="s">
        <v>189</v>
      </c>
      <c r="C197" t="s">
        <v>12</v>
      </c>
      <c r="D197" s="1">
        <v>43675</v>
      </c>
      <c r="E197" s="2"/>
      <c r="F197" s="3" t="str">
        <f t="shared" ca="1" si="2"/>
        <v/>
      </c>
    </row>
    <row r="198" spans="2:6" x14ac:dyDescent="0.25">
      <c r="B198" t="s">
        <v>190</v>
      </c>
      <c r="C198" t="s">
        <v>12</v>
      </c>
      <c r="D198" s="1">
        <v>43079</v>
      </c>
      <c r="E198" s="2"/>
      <c r="F198" s="3" t="str">
        <f t="shared" ca="1" si="2"/>
        <v/>
      </c>
    </row>
    <row r="199" spans="2:6" x14ac:dyDescent="0.25">
      <c r="B199" t="s">
        <v>191</v>
      </c>
      <c r="C199" t="s">
        <v>8</v>
      </c>
      <c r="D199" s="1">
        <v>43212</v>
      </c>
      <c r="E199" s="2"/>
      <c r="F199" s="3" t="str">
        <f t="shared" ca="1" si="2"/>
        <v/>
      </c>
    </row>
    <row r="200" spans="2:6" x14ac:dyDescent="0.25">
      <c r="B200" t="s">
        <v>192</v>
      </c>
      <c r="C200" t="s">
        <v>12</v>
      </c>
      <c r="D200" s="1">
        <v>43492</v>
      </c>
      <c r="E200" s="2"/>
      <c r="F200" s="3" t="str">
        <f t="shared" ca="1" si="2"/>
        <v/>
      </c>
    </row>
    <row r="201" spans="2:6" x14ac:dyDescent="0.25">
      <c r="B201" t="s">
        <v>193</v>
      </c>
      <c r="C201" t="s">
        <v>3</v>
      </c>
      <c r="D201" s="1">
        <v>43902</v>
      </c>
      <c r="E201" s="2"/>
      <c r="F201" s="3" t="str">
        <f t="shared" ca="1" si="2"/>
        <v/>
      </c>
    </row>
    <row r="202" spans="2:6" x14ac:dyDescent="0.25">
      <c r="B202" t="s">
        <v>194</v>
      </c>
      <c r="C202" t="s">
        <v>8</v>
      </c>
      <c r="D202" s="1">
        <v>43160</v>
      </c>
      <c r="E202" s="2"/>
      <c r="F202" s="3" t="str">
        <f t="shared" ca="1" si="2"/>
        <v/>
      </c>
    </row>
    <row r="203" spans="2:6" x14ac:dyDescent="0.25">
      <c r="B203" t="s">
        <v>195</v>
      </c>
      <c r="C203" t="s">
        <v>8</v>
      </c>
      <c r="D203" s="1">
        <v>43768</v>
      </c>
      <c r="E203" s="2"/>
      <c r="F203" s="3" t="str">
        <f t="shared" ca="1" si="2"/>
        <v/>
      </c>
    </row>
    <row r="204" spans="2:6" x14ac:dyDescent="0.25">
      <c r="B204" t="s">
        <v>196</v>
      </c>
      <c r="C204" t="s">
        <v>8</v>
      </c>
      <c r="D204" s="1">
        <v>43293</v>
      </c>
      <c r="E204" s="2"/>
      <c r="F204" s="3" t="str">
        <f t="shared" ca="1" si="2"/>
        <v/>
      </c>
    </row>
    <row r="205" spans="2:6" x14ac:dyDescent="0.25">
      <c r="B205" t="s">
        <v>197</v>
      </c>
      <c r="C205" t="s">
        <v>1</v>
      </c>
      <c r="D205" s="1">
        <v>43580</v>
      </c>
      <c r="E205" s="2"/>
      <c r="F205" s="3" t="str">
        <f t="shared" ca="1" si="2"/>
        <v/>
      </c>
    </row>
    <row r="206" spans="2:6" x14ac:dyDescent="0.25">
      <c r="B206" t="s">
        <v>198</v>
      </c>
      <c r="C206" t="s">
        <v>1</v>
      </c>
      <c r="D206" s="1">
        <v>43451</v>
      </c>
      <c r="E206" s="2"/>
      <c r="F206" s="3" t="str">
        <f t="shared" ref="F206:F269" ca="1" si="3">IF(E206="","",IF(E206=(TODAY()-D206)/365*6,"✔","✘"))</f>
        <v/>
      </c>
    </row>
    <row r="207" spans="2:6" x14ac:dyDescent="0.25">
      <c r="B207" t="s">
        <v>199</v>
      </c>
      <c r="C207" t="s">
        <v>1</v>
      </c>
      <c r="D207" s="1">
        <v>43934</v>
      </c>
      <c r="E207" s="2"/>
      <c r="F207" s="3" t="str">
        <f t="shared" ca="1" si="3"/>
        <v/>
      </c>
    </row>
    <row r="208" spans="2:6" x14ac:dyDescent="0.25">
      <c r="B208" t="s">
        <v>200</v>
      </c>
      <c r="C208" t="s">
        <v>1</v>
      </c>
      <c r="D208" s="1">
        <v>43294</v>
      </c>
      <c r="E208" s="2"/>
      <c r="F208" s="3" t="str">
        <f t="shared" ca="1" si="3"/>
        <v/>
      </c>
    </row>
    <row r="209" spans="2:6" x14ac:dyDescent="0.25">
      <c r="B209" t="s">
        <v>201</v>
      </c>
      <c r="C209" t="s">
        <v>12</v>
      </c>
      <c r="D209" s="1">
        <v>43173</v>
      </c>
      <c r="E209" s="2"/>
      <c r="F209" s="3" t="str">
        <f t="shared" ca="1" si="3"/>
        <v/>
      </c>
    </row>
    <row r="210" spans="2:6" x14ac:dyDescent="0.25">
      <c r="B210" t="s">
        <v>202</v>
      </c>
      <c r="C210" t="s">
        <v>5</v>
      </c>
      <c r="D210" s="1">
        <v>43169</v>
      </c>
      <c r="E210" s="2"/>
      <c r="F210" s="3" t="str">
        <f t="shared" ca="1" si="3"/>
        <v/>
      </c>
    </row>
    <row r="211" spans="2:6" x14ac:dyDescent="0.25">
      <c r="B211" t="s">
        <v>203</v>
      </c>
      <c r="C211" t="s">
        <v>1</v>
      </c>
      <c r="D211" s="1">
        <v>43801</v>
      </c>
      <c r="E211" s="2"/>
      <c r="F211" s="3" t="str">
        <f t="shared" ca="1" si="3"/>
        <v/>
      </c>
    </row>
    <row r="212" spans="2:6" x14ac:dyDescent="0.25">
      <c r="B212" t="s">
        <v>204</v>
      </c>
      <c r="C212" t="s">
        <v>8</v>
      </c>
      <c r="D212" s="1">
        <v>43782</v>
      </c>
      <c r="E212" s="2"/>
      <c r="F212" s="3" t="str">
        <f t="shared" ca="1" si="3"/>
        <v/>
      </c>
    </row>
    <row r="213" spans="2:6" x14ac:dyDescent="0.25">
      <c r="B213" t="s">
        <v>205</v>
      </c>
      <c r="C213" t="s">
        <v>12</v>
      </c>
      <c r="D213" s="1">
        <v>43700</v>
      </c>
      <c r="E213" s="2"/>
      <c r="F213" s="3" t="str">
        <f t="shared" ca="1" si="3"/>
        <v/>
      </c>
    </row>
    <row r="214" spans="2:6" x14ac:dyDescent="0.25">
      <c r="B214" t="s">
        <v>206</v>
      </c>
      <c r="C214" t="s">
        <v>5</v>
      </c>
      <c r="D214" s="1">
        <v>43347</v>
      </c>
      <c r="E214" s="2"/>
      <c r="F214" s="3" t="str">
        <f t="shared" ca="1" si="3"/>
        <v/>
      </c>
    </row>
    <row r="215" spans="2:6" x14ac:dyDescent="0.25">
      <c r="B215" t="s">
        <v>207</v>
      </c>
      <c r="C215" t="s">
        <v>5</v>
      </c>
      <c r="D215" s="1">
        <v>43296</v>
      </c>
      <c r="E215" s="2"/>
      <c r="F215" s="3" t="str">
        <f t="shared" ca="1" si="3"/>
        <v/>
      </c>
    </row>
    <row r="216" spans="2:6" x14ac:dyDescent="0.25">
      <c r="B216" t="s">
        <v>208</v>
      </c>
      <c r="C216" t="s">
        <v>1</v>
      </c>
      <c r="D216" s="1">
        <v>43925</v>
      </c>
      <c r="E216" s="2"/>
      <c r="F216" s="3" t="str">
        <f t="shared" ca="1" si="3"/>
        <v/>
      </c>
    </row>
    <row r="217" spans="2:6" x14ac:dyDescent="0.25">
      <c r="B217" t="s">
        <v>209</v>
      </c>
      <c r="C217" t="s">
        <v>8</v>
      </c>
      <c r="D217" s="1">
        <v>43472</v>
      </c>
      <c r="E217" s="2"/>
      <c r="F217" s="3" t="str">
        <f t="shared" ca="1" si="3"/>
        <v/>
      </c>
    </row>
    <row r="218" spans="2:6" x14ac:dyDescent="0.25">
      <c r="B218" t="s">
        <v>210</v>
      </c>
      <c r="C218" t="s">
        <v>3</v>
      </c>
      <c r="D218" s="1">
        <v>43139</v>
      </c>
      <c r="E218" s="2"/>
      <c r="F218" s="3" t="str">
        <f t="shared" ca="1" si="3"/>
        <v/>
      </c>
    </row>
    <row r="219" spans="2:6" x14ac:dyDescent="0.25">
      <c r="B219" t="s">
        <v>211</v>
      </c>
      <c r="C219" t="s">
        <v>3</v>
      </c>
      <c r="D219" s="1">
        <v>43905</v>
      </c>
      <c r="E219" s="2"/>
      <c r="F219" s="3" t="str">
        <f t="shared" ca="1" si="3"/>
        <v/>
      </c>
    </row>
    <row r="220" spans="2:6" x14ac:dyDescent="0.25">
      <c r="B220" t="s">
        <v>212</v>
      </c>
      <c r="C220" t="s">
        <v>1</v>
      </c>
      <c r="D220" s="1">
        <v>43123</v>
      </c>
      <c r="E220" s="2"/>
      <c r="F220" s="3" t="str">
        <f t="shared" ca="1" si="3"/>
        <v/>
      </c>
    </row>
    <row r="221" spans="2:6" x14ac:dyDescent="0.25">
      <c r="B221" t="s">
        <v>213</v>
      </c>
      <c r="C221" t="s">
        <v>12</v>
      </c>
      <c r="D221" s="1">
        <v>43064</v>
      </c>
      <c r="E221" s="2"/>
      <c r="F221" s="3" t="str">
        <f t="shared" ca="1" si="3"/>
        <v/>
      </c>
    </row>
    <row r="222" spans="2:6" x14ac:dyDescent="0.25">
      <c r="B222" t="s">
        <v>214</v>
      </c>
      <c r="C222" t="s">
        <v>5</v>
      </c>
      <c r="D222" s="1">
        <v>43781</v>
      </c>
      <c r="E222" s="2"/>
      <c r="F222" s="3" t="str">
        <f t="shared" ca="1" si="3"/>
        <v/>
      </c>
    </row>
    <row r="223" spans="2:6" x14ac:dyDescent="0.25">
      <c r="B223" t="s">
        <v>215</v>
      </c>
      <c r="C223" t="s">
        <v>12</v>
      </c>
      <c r="D223" s="1">
        <v>43708</v>
      </c>
      <c r="E223" s="2"/>
      <c r="F223" s="3" t="str">
        <f t="shared" ca="1" si="3"/>
        <v/>
      </c>
    </row>
    <row r="224" spans="2:6" x14ac:dyDescent="0.25">
      <c r="B224" t="s">
        <v>216</v>
      </c>
      <c r="C224" t="s">
        <v>3</v>
      </c>
      <c r="D224" s="1">
        <v>43852</v>
      </c>
      <c r="E224" s="2"/>
      <c r="F224" s="3" t="str">
        <f t="shared" ca="1" si="3"/>
        <v/>
      </c>
    </row>
    <row r="225" spans="2:6" x14ac:dyDescent="0.25">
      <c r="B225" t="s">
        <v>217</v>
      </c>
      <c r="C225" t="s">
        <v>5</v>
      </c>
      <c r="D225" s="1">
        <v>43953</v>
      </c>
      <c r="E225" s="2"/>
      <c r="F225" s="3" t="str">
        <f t="shared" ca="1" si="3"/>
        <v/>
      </c>
    </row>
    <row r="226" spans="2:6" x14ac:dyDescent="0.25">
      <c r="B226" t="s">
        <v>218</v>
      </c>
      <c r="C226" t="s">
        <v>5</v>
      </c>
      <c r="D226" s="1">
        <v>43676</v>
      </c>
      <c r="E226" s="2"/>
      <c r="F226" s="3" t="str">
        <f t="shared" ca="1" si="3"/>
        <v/>
      </c>
    </row>
    <row r="227" spans="2:6" x14ac:dyDescent="0.25">
      <c r="B227" t="s">
        <v>219</v>
      </c>
      <c r="C227" t="s">
        <v>8</v>
      </c>
      <c r="D227" s="1">
        <v>43218</v>
      </c>
      <c r="E227" s="2"/>
      <c r="F227" s="3" t="str">
        <f t="shared" ca="1" si="3"/>
        <v/>
      </c>
    </row>
    <row r="228" spans="2:6" x14ac:dyDescent="0.25">
      <c r="B228" t="s">
        <v>220</v>
      </c>
      <c r="C228" t="s">
        <v>5</v>
      </c>
      <c r="D228" s="1">
        <v>43142</v>
      </c>
      <c r="E228" s="2"/>
      <c r="F228" s="3" t="str">
        <f t="shared" ca="1" si="3"/>
        <v/>
      </c>
    </row>
    <row r="229" spans="2:6" x14ac:dyDescent="0.25">
      <c r="B229" t="s">
        <v>221</v>
      </c>
      <c r="C229" t="s">
        <v>8</v>
      </c>
      <c r="D229" s="1">
        <v>43601</v>
      </c>
      <c r="E229" s="2"/>
      <c r="F229" s="3" t="str">
        <f t="shared" ca="1" si="3"/>
        <v/>
      </c>
    </row>
    <row r="230" spans="2:6" x14ac:dyDescent="0.25">
      <c r="B230" t="s">
        <v>222</v>
      </c>
      <c r="C230" t="s">
        <v>1</v>
      </c>
      <c r="D230" s="1">
        <v>43593</v>
      </c>
      <c r="E230" s="2"/>
      <c r="F230" s="3" t="str">
        <f t="shared" ca="1" si="3"/>
        <v/>
      </c>
    </row>
    <row r="231" spans="2:6" x14ac:dyDescent="0.25">
      <c r="B231" t="s">
        <v>223</v>
      </c>
      <c r="C231" t="s">
        <v>3</v>
      </c>
      <c r="D231" s="1">
        <v>43711</v>
      </c>
      <c r="E231" s="2"/>
      <c r="F231" s="3" t="str">
        <f t="shared" ca="1" si="3"/>
        <v/>
      </c>
    </row>
    <row r="232" spans="2:6" x14ac:dyDescent="0.25">
      <c r="B232" t="s">
        <v>224</v>
      </c>
      <c r="C232" t="s">
        <v>12</v>
      </c>
      <c r="D232" s="1">
        <v>43429</v>
      </c>
      <c r="E232" s="2"/>
      <c r="F232" s="3" t="str">
        <f t="shared" ca="1" si="3"/>
        <v/>
      </c>
    </row>
    <row r="233" spans="2:6" x14ac:dyDescent="0.25">
      <c r="B233" t="s">
        <v>225</v>
      </c>
      <c r="C233" t="s">
        <v>12</v>
      </c>
      <c r="D233" s="1">
        <v>43395</v>
      </c>
      <c r="E233" s="2"/>
      <c r="F233" s="3" t="str">
        <f t="shared" ca="1" si="3"/>
        <v/>
      </c>
    </row>
    <row r="234" spans="2:6" x14ac:dyDescent="0.25">
      <c r="B234" t="s">
        <v>226</v>
      </c>
      <c r="C234" t="s">
        <v>8</v>
      </c>
      <c r="D234" s="1">
        <v>43591</v>
      </c>
      <c r="E234" s="2"/>
      <c r="F234" s="3" t="str">
        <f t="shared" ca="1" si="3"/>
        <v/>
      </c>
    </row>
    <row r="235" spans="2:6" x14ac:dyDescent="0.25">
      <c r="B235" t="s">
        <v>227</v>
      </c>
      <c r="C235" t="s">
        <v>3</v>
      </c>
      <c r="D235" s="1">
        <v>43663</v>
      </c>
      <c r="E235" s="2"/>
      <c r="F235" s="3" t="str">
        <f t="shared" ca="1" si="3"/>
        <v/>
      </c>
    </row>
    <row r="236" spans="2:6" x14ac:dyDescent="0.25">
      <c r="B236" t="s">
        <v>228</v>
      </c>
      <c r="C236" t="s">
        <v>12</v>
      </c>
      <c r="D236" s="1">
        <v>43401</v>
      </c>
      <c r="E236" s="2"/>
      <c r="F236" s="3" t="str">
        <f t="shared" ca="1" si="3"/>
        <v/>
      </c>
    </row>
    <row r="237" spans="2:6" x14ac:dyDescent="0.25">
      <c r="B237" t="s">
        <v>229</v>
      </c>
      <c r="C237" t="s">
        <v>1</v>
      </c>
      <c r="D237" s="1">
        <v>43558</v>
      </c>
      <c r="E237" s="2"/>
      <c r="F237" s="3" t="str">
        <f t="shared" ca="1" si="3"/>
        <v/>
      </c>
    </row>
    <row r="238" spans="2:6" x14ac:dyDescent="0.25">
      <c r="B238" t="s">
        <v>230</v>
      </c>
      <c r="C238" t="s">
        <v>12</v>
      </c>
      <c r="D238" s="1">
        <v>43794</v>
      </c>
      <c r="E238" s="2"/>
      <c r="F238" s="3" t="str">
        <f t="shared" ca="1" si="3"/>
        <v/>
      </c>
    </row>
    <row r="239" spans="2:6" x14ac:dyDescent="0.25">
      <c r="B239" t="s">
        <v>231</v>
      </c>
      <c r="C239" t="s">
        <v>1</v>
      </c>
      <c r="D239" s="1">
        <v>43932</v>
      </c>
      <c r="E239" s="2"/>
      <c r="F239" s="3" t="str">
        <f t="shared" ca="1" si="3"/>
        <v/>
      </c>
    </row>
    <row r="240" spans="2:6" x14ac:dyDescent="0.25">
      <c r="B240" t="s">
        <v>232</v>
      </c>
      <c r="C240" t="s">
        <v>12</v>
      </c>
      <c r="D240" s="1">
        <v>43163</v>
      </c>
      <c r="E240" s="2"/>
      <c r="F240" s="3" t="str">
        <f t="shared" ca="1" si="3"/>
        <v/>
      </c>
    </row>
    <row r="241" spans="2:6" x14ac:dyDescent="0.25">
      <c r="B241" t="s">
        <v>233</v>
      </c>
      <c r="C241" t="s">
        <v>3</v>
      </c>
      <c r="D241" s="1">
        <v>43751</v>
      </c>
      <c r="E241" s="2"/>
      <c r="F241" s="3" t="str">
        <f t="shared" ca="1" si="3"/>
        <v/>
      </c>
    </row>
    <row r="242" spans="2:6" x14ac:dyDescent="0.25">
      <c r="B242" t="s">
        <v>234</v>
      </c>
      <c r="C242" t="s">
        <v>1</v>
      </c>
      <c r="D242" s="1">
        <v>43707</v>
      </c>
      <c r="E242" s="2"/>
      <c r="F242" s="3" t="str">
        <f t="shared" ca="1" si="3"/>
        <v/>
      </c>
    </row>
    <row r="243" spans="2:6" x14ac:dyDescent="0.25">
      <c r="B243" t="s">
        <v>235</v>
      </c>
      <c r="C243" t="s">
        <v>5</v>
      </c>
      <c r="D243" s="1">
        <v>43138</v>
      </c>
      <c r="E243" s="2"/>
      <c r="F243" s="3" t="str">
        <f t="shared" ca="1" si="3"/>
        <v/>
      </c>
    </row>
    <row r="244" spans="2:6" x14ac:dyDescent="0.25">
      <c r="B244" t="s">
        <v>236</v>
      </c>
      <c r="C244" t="s">
        <v>5</v>
      </c>
      <c r="D244" s="1">
        <v>43481</v>
      </c>
      <c r="E244" s="2"/>
      <c r="F244" s="3" t="str">
        <f t="shared" ca="1" si="3"/>
        <v/>
      </c>
    </row>
    <row r="245" spans="2:6" x14ac:dyDescent="0.25">
      <c r="B245" t="s">
        <v>237</v>
      </c>
      <c r="C245" t="s">
        <v>12</v>
      </c>
      <c r="D245" s="1">
        <v>43253</v>
      </c>
      <c r="E245" s="2"/>
      <c r="F245" s="3" t="str">
        <f t="shared" ca="1" si="3"/>
        <v/>
      </c>
    </row>
    <row r="246" spans="2:6" x14ac:dyDescent="0.25">
      <c r="B246" t="s">
        <v>238</v>
      </c>
      <c r="C246" t="s">
        <v>12</v>
      </c>
      <c r="D246" s="1">
        <v>43758</v>
      </c>
      <c r="E246" s="2"/>
      <c r="F246" s="3" t="str">
        <f t="shared" ca="1" si="3"/>
        <v/>
      </c>
    </row>
    <row r="247" spans="2:6" x14ac:dyDescent="0.25">
      <c r="B247" t="s">
        <v>239</v>
      </c>
      <c r="C247" t="s">
        <v>3</v>
      </c>
      <c r="D247" s="1">
        <v>43103</v>
      </c>
      <c r="E247" s="2"/>
      <c r="F247" s="3" t="str">
        <f t="shared" ca="1" si="3"/>
        <v/>
      </c>
    </row>
    <row r="248" spans="2:6" x14ac:dyDescent="0.25">
      <c r="B248" t="s">
        <v>240</v>
      </c>
      <c r="C248" t="s">
        <v>12</v>
      </c>
      <c r="D248" s="1">
        <v>43894</v>
      </c>
      <c r="E248" s="2"/>
      <c r="F248" s="3" t="str">
        <f t="shared" ca="1" si="3"/>
        <v/>
      </c>
    </row>
    <row r="249" spans="2:6" x14ac:dyDescent="0.25">
      <c r="B249" t="s">
        <v>241</v>
      </c>
      <c r="C249" t="s">
        <v>12</v>
      </c>
      <c r="D249" s="1">
        <v>43335</v>
      </c>
      <c r="E249" s="2"/>
      <c r="F249" s="3" t="str">
        <f t="shared" ca="1" si="3"/>
        <v/>
      </c>
    </row>
    <row r="250" spans="2:6" x14ac:dyDescent="0.25">
      <c r="B250" t="s">
        <v>242</v>
      </c>
      <c r="C250" t="s">
        <v>3</v>
      </c>
      <c r="D250" s="1">
        <v>43275</v>
      </c>
      <c r="E250" s="2"/>
      <c r="F250" s="3" t="str">
        <f t="shared" ca="1" si="3"/>
        <v/>
      </c>
    </row>
    <row r="251" spans="2:6" x14ac:dyDescent="0.25">
      <c r="B251" t="s">
        <v>243</v>
      </c>
      <c r="C251" t="s">
        <v>5</v>
      </c>
      <c r="D251" s="1">
        <v>43478</v>
      </c>
      <c r="E251" s="2"/>
      <c r="F251" s="3" t="str">
        <f t="shared" ca="1" si="3"/>
        <v/>
      </c>
    </row>
    <row r="252" spans="2:6" x14ac:dyDescent="0.25">
      <c r="B252" t="s">
        <v>244</v>
      </c>
      <c r="C252" t="s">
        <v>1</v>
      </c>
      <c r="D252" s="1">
        <v>43674</v>
      </c>
      <c r="E252" s="2"/>
      <c r="F252" s="3" t="str">
        <f t="shared" ca="1" si="3"/>
        <v/>
      </c>
    </row>
    <row r="253" spans="2:6" x14ac:dyDescent="0.25">
      <c r="B253" t="s">
        <v>245</v>
      </c>
      <c r="C253" t="s">
        <v>1</v>
      </c>
      <c r="D253" s="1">
        <v>43433</v>
      </c>
      <c r="E253" s="2"/>
      <c r="F253" s="3" t="str">
        <f t="shared" ca="1" si="3"/>
        <v/>
      </c>
    </row>
    <row r="254" spans="2:6" x14ac:dyDescent="0.25">
      <c r="B254" t="s">
        <v>246</v>
      </c>
      <c r="C254" t="s">
        <v>1</v>
      </c>
      <c r="D254" s="1">
        <v>43077</v>
      </c>
      <c r="E254" s="2"/>
      <c r="F254" s="3" t="str">
        <f t="shared" ca="1" si="3"/>
        <v/>
      </c>
    </row>
    <row r="255" spans="2:6" x14ac:dyDescent="0.25">
      <c r="B255" t="s">
        <v>247</v>
      </c>
      <c r="C255" t="s">
        <v>3</v>
      </c>
      <c r="D255" s="1">
        <v>43824</v>
      </c>
      <c r="E255" s="2"/>
      <c r="F255" s="3" t="str">
        <f t="shared" ca="1" si="3"/>
        <v/>
      </c>
    </row>
    <row r="256" spans="2:6" x14ac:dyDescent="0.25">
      <c r="B256" t="s">
        <v>248</v>
      </c>
      <c r="C256" t="s">
        <v>1</v>
      </c>
      <c r="D256" s="1">
        <v>43552</v>
      </c>
      <c r="E256" s="2"/>
      <c r="F256" s="3" t="str">
        <f t="shared" ca="1" si="3"/>
        <v/>
      </c>
    </row>
    <row r="257" spans="2:6" x14ac:dyDescent="0.25">
      <c r="B257" t="s">
        <v>249</v>
      </c>
      <c r="C257" t="s">
        <v>5</v>
      </c>
      <c r="D257" s="1">
        <v>43486</v>
      </c>
      <c r="E257" s="2"/>
      <c r="F257" s="3" t="str">
        <f t="shared" ca="1" si="3"/>
        <v/>
      </c>
    </row>
    <row r="258" spans="2:6" x14ac:dyDescent="0.25">
      <c r="B258" t="s">
        <v>250</v>
      </c>
      <c r="C258" t="s">
        <v>5</v>
      </c>
      <c r="D258" s="1">
        <v>43181</v>
      </c>
      <c r="E258" s="2"/>
      <c r="F258" s="3" t="str">
        <f t="shared" ca="1" si="3"/>
        <v/>
      </c>
    </row>
    <row r="259" spans="2:6" x14ac:dyDescent="0.25">
      <c r="B259" t="s">
        <v>251</v>
      </c>
      <c r="C259" t="s">
        <v>5</v>
      </c>
      <c r="D259" s="1">
        <v>43409</v>
      </c>
      <c r="E259" s="2"/>
      <c r="F259" s="3" t="str">
        <f t="shared" ca="1" si="3"/>
        <v/>
      </c>
    </row>
    <row r="260" spans="2:6" x14ac:dyDescent="0.25">
      <c r="B260" t="s">
        <v>252</v>
      </c>
      <c r="C260" t="s">
        <v>3</v>
      </c>
      <c r="D260" s="1">
        <v>43944</v>
      </c>
      <c r="E260" s="2"/>
      <c r="F260" s="3" t="str">
        <f t="shared" ca="1" si="3"/>
        <v/>
      </c>
    </row>
    <row r="261" spans="2:6" x14ac:dyDescent="0.25">
      <c r="B261" t="s">
        <v>253</v>
      </c>
      <c r="C261" t="s">
        <v>8</v>
      </c>
      <c r="D261" s="1">
        <v>43775</v>
      </c>
      <c r="E261" s="2"/>
      <c r="F261" s="3" t="str">
        <f t="shared" ca="1" si="3"/>
        <v/>
      </c>
    </row>
    <row r="262" spans="2:6" x14ac:dyDescent="0.25">
      <c r="B262" t="s">
        <v>254</v>
      </c>
      <c r="C262" t="s">
        <v>1</v>
      </c>
      <c r="D262" s="1">
        <v>43131</v>
      </c>
      <c r="E262" s="2"/>
      <c r="F262" s="3" t="str">
        <f t="shared" ca="1" si="3"/>
        <v/>
      </c>
    </row>
    <row r="263" spans="2:6" x14ac:dyDescent="0.25">
      <c r="B263" t="s">
        <v>255</v>
      </c>
      <c r="C263" t="s">
        <v>8</v>
      </c>
      <c r="D263" s="1">
        <v>43411</v>
      </c>
      <c r="E263" s="2"/>
      <c r="F263" s="3" t="str">
        <f t="shared" ca="1" si="3"/>
        <v/>
      </c>
    </row>
    <row r="264" spans="2:6" x14ac:dyDescent="0.25">
      <c r="B264" t="s">
        <v>256</v>
      </c>
      <c r="C264" t="s">
        <v>8</v>
      </c>
      <c r="D264" s="1">
        <v>43381</v>
      </c>
      <c r="E264" s="2"/>
      <c r="F264" s="3" t="str">
        <f t="shared" ca="1" si="3"/>
        <v/>
      </c>
    </row>
    <row r="265" spans="2:6" x14ac:dyDescent="0.25">
      <c r="B265" t="s">
        <v>257</v>
      </c>
      <c r="C265" t="s">
        <v>3</v>
      </c>
      <c r="D265" s="1">
        <v>43789</v>
      </c>
      <c r="E265" s="2"/>
      <c r="F265" s="3" t="str">
        <f t="shared" ca="1" si="3"/>
        <v/>
      </c>
    </row>
    <row r="266" spans="2:6" x14ac:dyDescent="0.25">
      <c r="B266" t="s">
        <v>258</v>
      </c>
      <c r="C266" t="s">
        <v>3</v>
      </c>
      <c r="D266" s="1">
        <v>43448</v>
      </c>
      <c r="E266" s="2"/>
      <c r="F266" s="3" t="str">
        <f t="shared" ca="1" si="3"/>
        <v/>
      </c>
    </row>
    <row r="267" spans="2:6" x14ac:dyDescent="0.25">
      <c r="B267" t="s">
        <v>259</v>
      </c>
      <c r="C267" t="s">
        <v>12</v>
      </c>
      <c r="D267" s="1">
        <v>43206</v>
      </c>
      <c r="E267" s="2"/>
      <c r="F267" s="3" t="str">
        <f t="shared" ca="1" si="3"/>
        <v/>
      </c>
    </row>
    <row r="268" spans="2:6" x14ac:dyDescent="0.25">
      <c r="B268" t="s">
        <v>260</v>
      </c>
      <c r="C268" t="s">
        <v>3</v>
      </c>
      <c r="D268" s="1">
        <v>43753</v>
      </c>
      <c r="E268" s="2"/>
      <c r="F268" s="3" t="str">
        <f t="shared" ca="1" si="3"/>
        <v/>
      </c>
    </row>
    <row r="269" spans="2:6" x14ac:dyDescent="0.25">
      <c r="B269" t="s">
        <v>261</v>
      </c>
      <c r="C269" t="s">
        <v>12</v>
      </c>
      <c r="D269" s="1">
        <v>43662</v>
      </c>
      <c r="E269" s="2"/>
      <c r="F269" s="3" t="str">
        <f t="shared" ca="1" si="3"/>
        <v/>
      </c>
    </row>
    <row r="270" spans="2:6" x14ac:dyDescent="0.25">
      <c r="B270" t="s">
        <v>262</v>
      </c>
      <c r="C270" t="s">
        <v>12</v>
      </c>
      <c r="D270" s="1">
        <v>43828</v>
      </c>
      <c r="E270" s="2"/>
      <c r="F270" s="3" t="str">
        <f t="shared" ref="F270:F317" ca="1" si="4">IF(E270="","",IF(E270=(TODAY()-D270)/365*6,"✔","✘"))</f>
        <v/>
      </c>
    </row>
    <row r="271" spans="2:6" x14ac:dyDescent="0.25">
      <c r="B271" t="s">
        <v>263</v>
      </c>
      <c r="C271" t="s">
        <v>8</v>
      </c>
      <c r="D271" s="1">
        <v>43891</v>
      </c>
      <c r="E271" s="2"/>
      <c r="F271" s="3" t="str">
        <f t="shared" ca="1" si="4"/>
        <v/>
      </c>
    </row>
    <row r="272" spans="2:6" x14ac:dyDescent="0.25">
      <c r="B272" t="s">
        <v>264</v>
      </c>
      <c r="C272" t="s">
        <v>5</v>
      </c>
      <c r="D272" s="1">
        <v>43944</v>
      </c>
      <c r="E272" s="2"/>
      <c r="F272" s="3" t="str">
        <f t="shared" ca="1" si="4"/>
        <v/>
      </c>
    </row>
    <row r="273" spans="2:6" x14ac:dyDescent="0.25">
      <c r="B273" t="s">
        <v>265</v>
      </c>
      <c r="C273" t="s">
        <v>3</v>
      </c>
      <c r="D273" s="1">
        <v>43703</v>
      </c>
      <c r="E273" s="2"/>
      <c r="F273" s="3" t="str">
        <f t="shared" ca="1" si="4"/>
        <v/>
      </c>
    </row>
    <row r="274" spans="2:6" x14ac:dyDescent="0.25">
      <c r="B274" t="s">
        <v>266</v>
      </c>
      <c r="C274" t="s">
        <v>1</v>
      </c>
      <c r="D274" s="1">
        <v>43361</v>
      </c>
      <c r="E274" s="2"/>
      <c r="F274" s="3" t="str">
        <f t="shared" ca="1" si="4"/>
        <v/>
      </c>
    </row>
    <row r="275" spans="2:6" x14ac:dyDescent="0.25">
      <c r="B275" t="s">
        <v>267</v>
      </c>
      <c r="C275" t="s">
        <v>12</v>
      </c>
      <c r="D275" s="1">
        <v>43581</v>
      </c>
      <c r="E275" s="2"/>
      <c r="F275" s="3" t="str">
        <f t="shared" ca="1" si="4"/>
        <v/>
      </c>
    </row>
    <row r="276" spans="2:6" x14ac:dyDescent="0.25">
      <c r="B276" t="s">
        <v>268</v>
      </c>
      <c r="C276" t="s">
        <v>3</v>
      </c>
      <c r="D276" s="1">
        <v>43803</v>
      </c>
      <c r="E276" s="2"/>
      <c r="F276" s="3" t="str">
        <f t="shared" ca="1" si="4"/>
        <v/>
      </c>
    </row>
    <row r="277" spans="2:6" x14ac:dyDescent="0.25">
      <c r="B277" t="s">
        <v>269</v>
      </c>
      <c r="C277" t="s">
        <v>5</v>
      </c>
      <c r="D277" s="1">
        <v>43383</v>
      </c>
      <c r="E277" s="2"/>
      <c r="F277" s="3" t="str">
        <f t="shared" ca="1" si="4"/>
        <v/>
      </c>
    </row>
    <row r="278" spans="2:6" x14ac:dyDescent="0.25">
      <c r="B278" t="s">
        <v>270</v>
      </c>
      <c r="C278" t="s">
        <v>8</v>
      </c>
      <c r="D278" s="1">
        <v>43753</v>
      </c>
      <c r="E278" s="2"/>
      <c r="F278" s="3" t="str">
        <f t="shared" ca="1" si="4"/>
        <v/>
      </c>
    </row>
    <row r="279" spans="2:6" x14ac:dyDescent="0.25">
      <c r="B279" t="s">
        <v>271</v>
      </c>
      <c r="C279" t="s">
        <v>3</v>
      </c>
      <c r="D279" s="1">
        <v>43444</v>
      </c>
      <c r="E279" s="2"/>
      <c r="F279" s="3" t="str">
        <f t="shared" ca="1" si="4"/>
        <v/>
      </c>
    </row>
    <row r="280" spans="2:6" x14ac:dyDescent="0.25">
      <c r="B280" t="s">
        <v>272</v>
      </c>
      <c r="C280" t="s">
        <v>12</v>
      </c>
      <c r="D280" s="1">
        <v>43420</v>
      </c>
      <c r="E280" s="2"/>
      <c r="F280" s="3" t="str">
        <f t="shared" ca="1" si="4"/>
        <v/>
      </c>
    </row>
    <row r="281" spans="2:6" x14ac:dyDescent="0.25">
      <c r="B281" t="s">
        <v>273</v>
      </c>
      <c r="C281" t="s">
        <v>12</v>
      </c>
      <c r="D281" s="1">
        <v>43842</v>
      </c>
      <c r="E281" s="2"/>
      <c r="F281" s="3" t="str">
        <f t="shared" ca="1" si="4"/>
        <v/>
      </c>
    </row>
    <row r="282" spans="2:6" x14ac:dyDescent="0.25">
      <c r="B282" t="s">
        <v>274</v>
      </c>
      <c r="C282" t="s">
        <v>8</v>
      </c>
      <c r="D282" s="1">
        <v>43868</v>
      </c>
      <c r="E282" s="2"/>
      <c r="F282" s="3" t="str">
        <f t="shared" ca="1" si="4"/>
        <v/>
      </c>
    </row>
    <row r="283" spans="2:6" x14ac:dyDescent="0.25">
      <c r="B283" t="s">
        <v>275</v>
      </c>
      <c r="C283" t="s">
        <v>5</v>
      </c>
      <c r="D283" s="1">
        <v>43875</v>
      </c>
      <c r="E283" s="2"/>
      <c r="F283" s="3" t="str">
        <f t="shared" ca="1" si="4"/>
        <v/>
      </c>
    </row>
    <row r="284" spans="2:6" x14ac:dyDescent="0.25">
      <c r="B284" t="s">
        <v>276</v>
      </c>
      <c r="C284" t="s">
        <v>1</v>
      </c>
      <c r="D284" s="1">
        <v>43438</v>
      </c>
      <c r="E284" s="2"/>
      <c r="F284" s="3" t="str">
        <f t="shared" ca="1" si="4"/>
        <v/>
      </c>
    </row>
    <row r="285" spans="2:6" x14ac:dyDescent="0.25">
      <c r="B285" t="s">
        <v>277</v>
      </c>
      <c r="C285" t="s">
        <v>1</v>
      </c>
      <c r="D285" s="1">
        <v>43579</v>
      </c>
      <c r="E285" s="2"/>
      <c r="F285" s="3" t="str">
        <f t="shared" ca="1" si="4"/>
        <v/>
      </c>
    </row>
    <row r="286" spans="2:6" x14ac:dyDescent="0.25">
      <c r="B286" t="s">
        <v>278</v>
      </c>
      <c r="C286" t="s">
        <v>8</v>
      </c>
      <c r="D286" s="1">
        <v>43098</v>
      </c>
      <c r="E286" s="2"/>
      <c r="F286" s="3" t="str">
        <f t="shared" ca="1" si="4"/>
        <v/>
      </c>
    </row>
    <row r="287" spans="2:6" x14ac:dyDescent="0.25">
      <c r="B287" t="s">
        <v>279</v>
      </c>
      <c r="C287" t="s">
        <v>3</v>
      </c>
      <c r="D287" s="1">
        <v>43099</v>
      </c>
      <c r="E287" s="2"/>
      <c r="F287" s="3" t="str">
        <f t="shared" ca="1" si="4"/>
        <v/>
      </c>
    </row>
    <row r="288" spans="2:6" x14ac:dyDescent="0.25">
      <c r="B288" t="s">
        <v>280</v>
      </c>
      <c r="C288" t="s">
        <v>3</v>
      </c>
      <c r="D288" s="1">
        <v>43826</v>
      </c>
      <c r="E288" s="2"/>
      <c r="F288" s="3" t="str">
        <f t="shared" ca="1" si="4"/>
        <v/>
      </c>
    </row>
    <row r="289" spans="2:6" x14ac:dyDescent="0.25">
      <c r="B289" t="s">
        <v>281</v>
      </c>
      <c r="C289" t="s">
        <v>3</v>
      </c>
      <c r="D289" s="1">
        <v>43598</v>
      </c>
      <c r="E289" s="2"/>
      <c r="F289" s="3" t="str">
        <f t="shared" ca="1" si="4"/>
        <v/>
      </c>
    </row>
    <row r="290" spans="2:6" x14ac:dyDescent="0.25">
      <c r="B290" t="s">
        <v>282</v>
      </c>
      <c r="C290" t="s">
        <v>1</v>
      </c>
      <c r="D290" s="1">
        <v>43390</v>
      </c>
      <c r="E290" s="2"/>
      <c r="F290" s="3" t="str">
        <f t="shared" ca="1" si="4"/>
        <v/>
      </c>
    </row>
    <row r="291" spans="2:6" x14ac:dyDescent="0.25">
      <c r="B291" t="s">
        <v>283</v>
      </c>
      <c r="C291" t="s">
        <v>1</v>
      </c>
      <c r="D291" s="1">
        <v>43733</v>
      </c>
      <c r="E291" s="2"/>
      <c r="F291" s="3" t="str">
        <f t="shared" ca="1" si="4"/>
        <v/>
      </c>
    </row>
    <row r="292" spans="2:6" x14ac:dyDescent="0.25">
      <c r="B292" t="s">
        <v>284</v>
      </c>
      <c r="C292" t="s">
        <v>3</v>
      </c>
      <c r="D292" s="1">
        <v>43310</v>
      </c>
      <c r="E292" s="2"/>
      <c r="F292" s="3" t="str">
        <f t="shared" ca="1" si="4"/>
        <v/>
      </c>
    </row>
    <row r="293" spans="2:6" x14ac:dyDescent="0.25">
      <c r="B293" t="s">
        <v>285</v>
      </c>
      <c r="C293" t="s">
        <v>5</v>
      </c>
      <c r="D293" s="1">
        <v>43199</v>
      </c>
      <c r="E293" s="2"/>
      <c r="F293" s="3" t="str">
        <f t="shared" ca="1" si="4"/>
        <v/>
      </c>
    </row>
    <row r="294" spans="2:6" x14ac:dyDescent="0.25">
      <c r="B294" t="s">
        <v>286</v>
      </c>
      <c r="C294" t="s">
        <v>8</v>
      </c>
      <c r="D294" s="1">
        <v>43234</v>
      </c>
      <c r="E294" s="2"/>
      <c r="F294" s="3" t="str">
        <f t="shared" ca="1" si="4"/>
        <v/>
      </c>
    </row>
    <row r="295" spans="2:6" x14ac:dyDescent="0.25">
      <c r="B295" t="s">
        <v>287</v>
      </c>
      <c r="C295" t="s">
        <v>8</v>
      </c>
      <c r="D295" s="1">
        <v>43896</v>
      </c>
      <c r="E295" s="2"/>
      <c r="F295" s="3" t="str">
        <f t="shared" ca="1" si="4"/>
        <v/>
      </c>
    </row>
    <row r="296" spans="2:6" x14ac:dyDescent="0.25">
      <c r="B296" t="s">
        <v>288</v>
      </c>
      <c r="C296" t="s">
        <v>8</v>
      </c>
      <c r="D296" s="1">
        <v>43334</v>
      </c>
      <c r="E296" s="2"/>
      <c r="F296" s="3" t="str">
        <f t="shared" ca="1" si="4"/>
        <v/>
      </c>
    </row>
    <row r="297" spans="2:6" x14ac:dyDescent="0.25">
      <c r="B297" t="s">
        <v>289</v>
      </c>
      <c r="C297" t="s">
        <v>1</v>
      </c>
      <c r="D297" s="1">
        <v>43897</v>
      </c>
      <c r="E297" s="2"/>
      <c r="F297" s="3" t="str">
        <f t="shared" ca="1" si="4"/>
        <v/>
      </c>
    </row>
    <row r="298" spans="2:6" x14ac:dyDescent="0.25">
      <c r="B298" t="s">
        <v>290</v>
      </c>
      <c r="C298" t="s">
        <v>8</v>
      </c>
      <c r="D298" s="1">
        <v>43215</v>
      </c>
      <c r="E298" s="2"/>
      <c r="F298" s="3" t="str">
        <f t="shared" ca="1" si="4"/>
        <v/>
      </c>
    </row>
    <row r="299" spans="2:6" x14ac:dyDescent="0.25">
      <c r="B299" t="s">
        <v>291</v>
      </c>
      <c r="C299" t="s">
        <v>1</v>
      </c>
      <c r="D299" s="1">
        <v>43529</v>
      </c>
      <c r="E299" s="2"/>
      <c r="F299" s="3" t="str">
        <f t="shared" ca="1" si="4"/>
        <v/>
      </c>
    </row>
    <row r="300" spans="2:6" x14ac:dyDescent="0.25">
      <c r="B300" t="s">
        <v>292</v>
      </c>
      <c r="C300" t="s">
        <v>12</v>
      </c>
      <c r="D300" s="1">
        <v>43172</v>
      </c>
      <c r="E300" s="2"/>
      <c r="F300" s="3" t="str">
        <f t="shared" ca="1" si="4"/>
        <v/>
      </c>
    </row>
    <row r="301" spans="2:6" x14ac:dyDescent="0.25">
      <c r="B301" t="s">
        <v>293</v>
      </c>
      <c r="C301" t="s">
        <v>1</v>
      </c>
      <c r="D301" s="1">
        <v>43234</v>
      </c>
      <c r="E301" s="2"/>
      <c r="F301" s="3" t="str">
        <f t="shared" ca="1" si="4"/>
        <v/>
      </c>
    </row>
    <row r="302" spans="2:6" x14ac:dyDescent="0.25">
      <c r="B302" t="s">
        <v>294</v>
      </c>
      <c r="C302" t="s">
        <v>1</v>
      </c>
      <c r="D302" s="1">
        <v>43911</v>
      </c>
      <c r="E302" s="2"/>
      <c r="F302" s="3" t="str">
        <f t="shared" ca="1" si="4"/>
        <v/>
      </c>
    </row>
    <row r="303" spans="2:6" x14ac:dyDescent="0.25">
      <c r="B303" t="s">
        <v>295</v>
      </c>
      <c r="C303" t="s">
        <v>5</v>
      </c>
      <c r="D303" s="1">
        <v>43233</v>
      </c>
      <c r="E303" s="2"/>
      <c r="F303" s="3" t="str">
        <f t="shared" ca="1" si="4"/>
        <v/>
      </c>
    </row>
    <row r="304" spans="2:6" x14ac:dyDescent="0.25">
      <c r="B304" t="s">
        <v>296</v>
      </c>
      <c r="C304" t="s">
        <v>12</v>
      </c>
      <c r="D304" s="1">
        <v>43603</v>
      </c>
      <c r="E304" s="2"/>
      <c r="F304" s="3" t="str">
        <f t="shared" ca="1" si="4"/>
        <v/>
      </c>
    </row>
    <row r="305" spans="2:6" x14ac:dyDescent="0.25">
      <c r="B305" t="s">
        <v>297</v>
      </c>
      <c r="C305" t="s">
        <v>8</v>
      </c>
      <c r="D305" s="1">
        <v>43379</v>
      </c>
      <c r="E305" s="2"/>
      <c r="F305" s="3" t="str">
        <f t="shared" ca="1" si="4"/>
        <v/>
      </c>
    </row>
    <row r="306" spans="2:6" x14ac:dyDescent="0.25">
      <c r="B306" t="s">
        <v>298</v>
      </c>
      <c r="C306" t="s">
        <v>5</v>
      </c>
      <c r="D306" s="1">
        <v>43544</v>
      </c>
      <c r="E306" s="2"/>
      <c r="F306" s="3" t="str">
        <f t="shared" ca="1" si="4"/>
        <v/>
      </c>
    </row>
    <row r="307" spans="2:6" x14ac:dyDescent="0.25">
      <c r="B307" t="s">
        <v>299</v>
      </c>
      <c r="C307" t="s">
        <v>3</v>
      </c>
      <c r="D307" s="1">
        <v>43421</v>
      </c>
      <c r="E307" s="2"/>
      <c r="F307" s="3" t="str">
        <f t="shared" ca="1" si="4"/>
        <v/>
      </c>
    </row>
    <row r="308" spans="2:6" x14ac:dyDescent="0.25">
      <c r="B308" t="s">
        <v>300</v>
      </c>
      <c r="C308" t="s">
        <v>12</v>
      </c>
      <c r="D308" s="1">
        <v>43063</v>
      </c>
      <c r="E308" s="2"/>
      <c r="F308" s="3" t="str">
        <f t="shared" ca="1" si="4"/>
        <v/>
      </c>
    </row>
    <row r="309" spans="2:6" x14ac:dyDescent="0.25">
      <c r="B309" t="s">
        <v>301</v>
      </c>
      <c r="C309" t="s">
        <v>5</v>
      </c>
      <c r="D309" s="1">
        <v>43711</v>
      </c>
      <c r="E309" s="2"/>
      <c r="F309" s="3" t="str">
        <f t="shared" ca="1" si="4"/>
        <v/>
      </c>
    </row>
    <row r="310" spans="2:6" x14ac:dyDescent="0.25">
      <c r="B310" t="s">
        <v>302</v>
      </c>
      <c r="C310" t="s">
        <v>5</v>
      </c>
      <c r="D310" s="1">
        <v>43781</v>
      </c>
      <c r="E310" s="2"/>
      <c r="F310" s="3" t="str">
        <f t="shared" ca="1" si="4"/>
        <v/>
      </c>
    </row>
    <row r="311" spans="2:6" x14ac:dyDescent="0.25">
      <c r="B311" t="s">
        <v>303</v>
      </c>
      <c r="C311" t="s">
        <v>5</v>
      </c>
      <c r="D311" s="1">
        <v>43790</v>
      </c>
      <c r="E311" s="2"/>
      <c r="F311" s="3" t="str">
        <f t="shared" ca="1" si="4"/>
        <v/>
      </c>
    </row>
    <row r="312" spans="2:6" x14ac:dyDescent="0.25">
      <c r="B312" t="s">
        <v>304</v>
      </c>
      <c r="C312" t="s">
        <v>1</v>
      </c>
      <c r="D312" s="1">
        <v>43167</v>
      </c>
      <c r="E312" s="2"/>
      <c r="F312" s="3" t="str">
        <f t="shared" ca="1" si="4"/>
        <v/>
      </c>
    </row>
    <row r="313" spans="2:6" x14ac:dyDescent="0.25">
      <c r="B313" t="s">
        <v>305</v>
      </c>
      <c r="C313" t="s">
        <v>3</v>
      </c>
      <c r="D313" s="1">
        <v>43379</v>
      </c>
      <c r="E313" s="2"/>
      <c r="F313" s="3" t="str">
        <f t="shared" ca="1" si="4"/>
        <v/>
      </c>
    </row>
    <row r="314" spans="2:6" x14ac:dyDescent="0.25">
      <c r="B314" t="s">
        <v>306</v>
      </c>
      <c r="C314" t="s">
        <v>8</v>
      </c>
      <c r="D314" s="1">
        <v>43879</v>
      </c>
      <c r="E314" s="2"/>
      <c r="F314" s="3" t="str">
        <f t="shared" ca="1" si="4"/>
        <v/>
      </c>
    </row>
    <row r="315" spans="2:6" x14ac:dyDescent="0.25">
      <c r="B315" t="s">
        <v>307</v>
      </c>
      <c r="C315" t="s">
        <v>12</v>
      </c>
      <c r="D315" s="1">
        <v>43535</v>
      </c>
      <c r="E315" s="2"/>
      <c r="F315" s="3" t="str">
        <f t="shared" ca="1" si="4"/>
        <v/>
      </c>
    </row>
    <row r="316" spans="2:6" x14ac:dyDescent="0.25">
      <c r="B316" t="s">
        <v>308</v>
      </c>
      <c r="C316" t="s">
        <v>5</v>
      </c>
      <c r="D316" s="1">
        <v>43232</v>
      </c>
      <c r="E316" s="2"/>
      <c r="F316" s="3" t="str">
        <f t="shared" ca="1" si="4"/>
        <v/>
      </c>
    </row>
    <row r="317" spans="2:6" x14ac:dyDescent="0.25">
      <c r="B317" t="s">
        <v>309</v>
      </c>
      <c r="C317" t="s">
        <v>5</v>
      </c>
      <c r="D317" s="1">
        <v>43948</v>
      </c>
      <c r="E317" s="2"/>
      <c r="F317" s="3" t="str">
        <f t="shared" ca="1" si="4"/>
        <v/>
      </c>
    </row>
  </sheetData>
  <conditionalFormatting sqref="F13:F317">
    <cfRule type="containsBlanks" dxfId="14" priority="1">
      <formula>LEN(TRIM(F13))=0</formula>
    </cfRule>
    <cfRule type="containsText" dxfId="13" priority="2" operator="containsText" text="✘">
      <formula>NOT(ISERROR(SEARCH("✘",F13)))</formula>
    </cfRule>
    <cfRule type="containsText" dxfId="12" priority="3" operator="containsText" text="✔">
      <formula>NOT(ISERROR(SEARCH("✔",F13)))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27447"/>
  </sheetPr>
  <dimension ref="A10:J62"/>
  <sheetViews>
    <sheetView showGridLines="0" topLeftCell="A8" workbookViewId="0">
      <selection activeCell="L10" sqref="L10:N11"/>
    </sheetView>
  </sheetViews>
  <sheetFormatPr defaultColWidth="9.140625" defaultRowHeight="15" x14ac:dyDescent="0.25"/>
  <cols>
    <col min="1" max="1" width="10.7109375" bestFit="1" customWidth="1"/>
    <col min="2" max="2" width="17" bestFit="1" customWidth="1"/>
    <col min="3" max="3" width="21.85546875" bestFit="1" customWidth="1"/>
    <col min="4" max="4" width="23" bestFit="1" customWidth="1"/>
    <col min="5" max="5" width="18.7109375" bestFit="1" customWidth="1"/>
    <col min="6" max="6" width="9.140625" bestFit="1" customWidth="1"/>
    <col min="9" max="9" width="18.85546875" bestFit="1" customWidth="1"/>
    <col min="10" max="10" width="4.5703125" bestFit="1" customWidth="1"/>
  </cols>
  <sheetData>
    <row r="10" spans="1:10" ht="17.25" x14ac:dyDescent="0.3">
      <c r="A10" s="9" t="s">
        <v>397</v>
      </c>
      <c r="B10" s="9" t="s">
        <v>398</v>
      </c>
      <c r="C10" s="9" t="s">
        <v>399</v>
      </c>
      <c r="D10" s="9" t="s">
        <v>400</v>
      </c>
      <c r="E10" s="9" t="s">
        <v>401</v>
      </c>
      <c r="F10" s="9" t="s">
        <v>310</v>
      </c>
      <c r="I10" s="6" t="s">
        <v>402</v>
      </c>
      <c r="J10" s="7">
        <v>0.04</v>
      </c>
    </row>
    <row r="11" spans="1:10" x14ac:dyDescent="0.25">
      <c r="A11" s="1">
        <f ca="1">TODAY()-RANDBETWEEN(1,60)</f>
        <v>45566</v>
      </c>
      <c r="B11" s="4">
        <f ca="1">RANDBETWEEN(500,5000)</f>
        <v>2405</v>
      </c>
      <c r="C11" s="5"/>
      <c r="D11" s="5"/>
      <c r="E11" s="5"/>
      <c r="F11" s="5"/>
      <c r="G11" s="3" t="str">
        <f>IF(F11="","",IF(F11=B11*$J$10+B11*$J$11+B11*$J$12+B11,"✔","✘"))</f>
        <v/>
      </c>
      <c r="I11" s="6" t="s">
        <v>403</v>
      </c>
      <c r="J11" s="7">
        <v>0.11</v>
      </c>
    </row>
    <row r="12" spans="1:10" x14ac:dyDescent="0.25">
      <c r="A12" s="1">
        <f t="shared" ref="A12:A62" ca="1" si="0">TODAY()-RANDBETWEEN(1,60)</f>
        <v>45589</v>
      </c>
      <c r="B12" s="4">
        <f t="shared" ref="B12:B62" ca="1" si="1">RANDBETWEEN(500,5000)</f>
        <v>2101</v>
      </c>
      <c r="C12" s="5"/>
      <c r="D12" s="5"/>
      <c r="E12" s="5"/>
      <c r="F12" s="5"/>
      <c r="G12" s="3" t="str">
        <f t="shared" ref="G12:G62" si="2">IF(F12="","",IF(F12=B12*$J$10+B12*$J$11+B12*$J$12+B12,"✔","✘"))</f>
        <v/>
      </c>
      <c r="I12" s="6" t="s">
        <v>401</v>
      </c>
      <c r="J12" s="7">
        <v>0.16</v>
      </c>
    </row>
    <row r="13" spans="1:10" x14ac:dyDescent="0.25">
      <c r="A13" s="1">
        <f t="shared" ca="1" si="0"/>
        <v>45590</v>
      </c>
      <c r="B13" s="4">
        <f t="shared" ca="1" si="1"/>
        <v>2619</v>
      </c>
      <c r="C13" s="5"/>
      <c r="D13" s="5"/>
      <c r="E13" s="5"/>
      <c r="F13" s="5"/>
      <c r="G13" s="3" t="str">
        <f t="shared" si="2"/>
        <v/>
      </c>
    </row>
    <row r="14" spans="1:10" x14ac:dyDescent="0.25">
      <c r="A14" s="1">
        <f t="shared" ca="1" si="0"/>
        <v>45571</v>
      </c>
      <c r="B14" s="4">
        <f t="shared" ca="1" si="1"/>
        <v>1732</v>
      </c>
      <c r="C14" s="5"/>
      <c r="D14" s="5"/>
      <c r="E14" s="5"/>
      <c r="F14" s="5"/>
      <c r="G14" s="3" t="str">
        <f t="shared" si="2"/>
        <v/>
      </c>
    </row>
    <row r="15" spans="1:10" x14ac:dyDescent="0.25">
      <c r="A15" s="1">
        <f t="shared" ca="1" si="0"/>
        <v>45596</v>
      </c>
      <c r="B15" s="4">
        <f t="shared" ca="1" si="1"/>
        <v>1247</v>
      </c>
      <c r="C15" s="5"/>
      <c r="D15" s="5"/>
      <c r="E15" s="5"/>
      <c r="F15" s="5"/>
      <c r="G15" s="3" t="str">
        <f t="shared" si="2"/>
        <v/>
      </c>
    </row>
    <row r="16" spans="1:10" x14ac:dyDescent="0.25">
      <c r="A16" s="1">
        <f t="shared" ca="1" si="0"/>
        <v>45573</v>
      </c>
      <c r="B16" s="4">
        <f t="shared" ca="1" si="1"/>
        <v>3532</v>
      </c>
      <c r="C16" s="5"/>
      <c r="D16" s="5"/>
      <c r="E16" s="5"/>
      <c r="F16" s="5"/>
      <c r="G16" s="3" t="str">
        <f t="shared" si="2"/>
        <v/>
      </c>
    </row>
    <row r="17" spans="1:7" x14ac:dyDescent="0.25">
      <c r="A17" s="1">
        <f t="shared" ca="1" si="0"/>
        <v>45585</v>
      </c>
      <c r="B17" s="4">
        <f t="shared" ca="1" si="1"/>
        <v>716</v>
      </c>
      <c r="C17" s="5"/>
      <c r="D17" s="5"/>
      <c r="E17" s="5"/>
      <c r="F17" s="5"/>
      <c r="G17" s="3" t="str">
        <f t="shared" si="2"/>
        <v/>
      </c>
    </row>
    <row r="18" spans="1:7" x14ac:dyDescent="0.25">
      <c r="A18" s="1">
        <f t="shared" ca="1" si="0"/>
        <v>45600</v>
      </c>
      <c r="B18" s="4">
        <f t="shared" ca="1" si="1"/>
        <v>1812</v>
      </c>
      <c r="C18" s="5"/>
      <c r="D18" s="5"/>
      <c r="E18" s="5"/>
      <c r="F18" s="5"/>
      <c r="G18" s="3" t="str">
        <f t="shared" si="2"/>
        <v/>
      </c>
    </row>
    <row r="19" spans="1:7" x14ac:dyDescent="0.25">
      <c r="A19" s="1">
        <f t="shared" ca="1" si="0"/>
        <v>45581</v>
      </c>
      <c r="B19" s="4">
        <f t="shared" ca="1" si="1"/>
        <v>870</v>
      </c>
      <c r="C19" s="5"/>
      <c r="D19" s="5"/>
      <c r="E19" s="5"/>
      <c r="F19" s="5"/>
      <c r="G19" s="3" t="str">
        <f t="shared" si="2"/>
        <v/>
      </c>
    </row>
    <row r="20" spans="1:7" x14ac:dyDescent="0.25">
      <c r="A20" s="1">
        <f t="shared" ca="1" si="0"/>
        <v>45606</v>
      </c>
      <c r="B20" s="4">
        <f t="shared" ca="1" si="1"/>
        <v>4303</v>
      </c>
      <c r="C20" s="5"/>
      <c r="D20" s="5"/>
      <c r="E20" s="5"/>
      <c r="F20" s="5"/>
      <c r="G20" s="3" t="str">
        <f t="shared" si="2"/>
        <v/>
      </c>
    </row>
    <row r="21" spans="1:7" x14ac:dyDescent="0.25">
      <c r="A21" s="1">
        <f t="shared" ca="1" si="0"/>
        <v>45579</v>
      </c>
      <c r="B21" s="4">
        <f t="shared" ca="1" si="1"/>
        <v>3160</v>
      </c>
      <c r="C21" s="5"/>
      <c r="D21" s="5"/>
      <c r="E21" s="5"/>
      <c r="F21" s="5"/>
      <c r="G21" s="3" t="str">
        <f t="shared" si="2"/>
        <v/>
      </c>
    </row>
    <row r="22" spans="1:7" x14ac:dyDescent="0.25">
      <c r="A22" s="1">
        <f t="shared" ca="1" si="0"/>
        <v>45580</v>
      </c>
      <c r="B22" s="4">
        <f t="shared" ca="1" si="1"/>
        <v>3821</v>
      </c>
      <c r="C22" s="5"/>
      <c r="D22" s="5"/>
      <c r="E22" s="5"/>
      <c r="F22" s="5"/>
      <c r="G22" s="3" t="str">
        <f t="shared" si="2"/>
        <v/>
      </c>
    </row>
    <row r="23" spans="1:7" x14ac:dyDescent="0.25">
      <c r="A23" s="1">
        <f t="shared" ca="1" si="0"/>
        <v>45597</v>
      </c>
      <c r="B23" s="4">
        <f t="shared" ca="1" si="1"/>
        <v>1870</v>
      </c>
      <c r="C23" s="5"/>
      <c r="D23" s="5"/>
      <c r="E23" s="5"/>
      <c r="F23" s="5"/>
      <c r="G23" s="3" t="str">
        <f t="shared" si="2"/>
        <v/>
      </c>
    </row>
    <row r="24" spans="1:7" x14ac:dyDescent="0.25">
      <c r="A24" s="1">
        <f t="shared" ca="1" si="0"/>
        <v>45581</v>
      </c>
      <c r="B24" s="4">
        <f t="shared" ca="1" si="1"/>
        <v>2112</v>
      </c>
      <c r="C24" s="5"/>
      <c r="D24" s="5"/>
      <c r="E24" s="5"/>
      <c r="F24" s="5"/>
      <c r="G24" s="3" t="str">
        <f t="shared" si="2"/>
        <v/>
      </c>
    </row>
    <row r="25" spans="1:7" x14ac:dyDescent="0.25">
      <c r="A25" s="1">
        <f t="shared" ca="1" si="0"/>
        <v>45580</v>
      </c>
      <c r="B25" s="4">
        <f t="shared" ca="1" si="1"/>
        <v>1984</v>
      </c>
      <c r="C25" s="5"/>
      <c r="D25" s="5"/>
      <c r="E25" s="5"/>
      <c r="F25" s="5"/>
      <c r="G25" s="3" t="str">
        <f t="shared" si="2"/>
        <v/>
      </c>
    </row>
    <row r="26" spans="1:7" x14ac:dyDescent="0.25">
      <c r="A26" s="1">
        <f t="shared" ca="1" si="0"/>
        <v>45613</v>
      </c>
      <c r="B26" s="4">
        <f t="shared" ca="1" si="1"/>
        <v>3236</v>
      </c>
      <c r="C26" s="5"/>
      <c r="D26" s="5"/>
      <c r="E26" s="5"/>
      <c r="F26" s="5"/>
      <c r="G26" s="3" t="str">
        <f t="shared" si="2"/>
        <v/>
      </c>
    </row>
    <row r="27" spans="1:7" x14ac:dyDescent="0.25">
      <c r="A27" s="1">
        <f t="shared" ca="1" si="0"/>
        <v>45577</v>
      </c>
      <c r="B27" s="4">
        <f t="shared" ca="1" si="1"/>
        <v>2281</v>
      </c>
      <c r="C27" s="5"/>
      <c r="D27" s="5"/>
      <c r="E27" s="5"/>
      <c r="F27" s="5"/>
      <c r="G27" s="3" t="str">
        <f t="shared" si="2"/>
        <v/>
      </c>
    </row>
    <row r="28" spans="1:7" x14ac:dyDescent="0.25">
      <c r="A28" s="1">
        <f t="shared" ca="1" si="0"/>
        <v>45556</v>
      </c>
      <c r="B28" s="4">
        <f t="shared" ca="1" si="1"/>
        <v>2656</v>
      </c>
      <c r="C28" s="5"/>
      <c r="D28" s="5"/>
      <c r="E28" s="5"/>
      <c r="F28" s="5"/>
      <c r="G28" s="3" t="str">
        <f t="shared" si="2"/>
        <v/>
      </c>
    </row>
    <row r="29" spans="1:7" x14ac:dyDescent="0.25">
      <c r="A29" s="1">
        <f t="shared" ca="1" si="0"/>
        <v>45613</v>
      </c>
      <c r="B29" s="4">
        <f t="shared" ca="1" si="1"/>
        <v>1860</v>
      </c>
      <c r="C29" s="5"/>
      <c r="D29" s="5"/>
      <c r="E29" s="5"/>
      <c r="F29" s="5"/>
      <c r="G29" s="3" t="str">
        <f t="shared" si="2"/>
        <v/>
      </c>
    </row>
    <row r="30" spans="1:7" x14ac:dyDescent="0.25">
      <c r="A30" s="1">
        <f t="shared" ca="1" si="0"/>
        <v>45592</v>
      </c>
      <c r="B30" s="4">
        <f t="shared" ca="1" si="1"/>
        <v>3374</v>
      </c>
      <c r="C30" s="5"/>
      <c r="D30" s="5"/>
      <c r="E30" s="5"/>
      <c r="F30" s="5"/>
      <c r="G30" s="3" t="str">
        <f t="shared" si="2"/>
        <v/>
      </c>
    </row>
    <row r="31" spans="1:7" x14ac:dyDescent="0.25">
      <c r="A31" s="1">
        <f t="shared" ca="1" si="0"/>
        <v>45592</v>
      </c>
      <c r="B31" s="4">
        <f t="shared" ca="1" si="1"/>
        <v>535</v>
      </c>
      <c r="C31" s="5"/>
      <c r="D31" s="5"/>
      <c r="E31" s="5"/>
      <c r="F31" s="5"/>
      <c r="G31" s="3" t="str">
        <f t="shared" si="2"/>
        <v/>
      </c>
    </row>
    <row r="32" spans="1:7" x14ac:dyDescent="0.25">
      <c r="A32" s="1">
        <f t="shared" ca="1" si="0"/>
        <v>45611</v>
      </c>
      <c r="B32" s="4">
        <f t="shared" ca="1" si="1"/>
        <v>2492</v>
      </c>
      <c r="C32" s="5"/>
      <c r="D32" s="5"/>
      <c r="E32" s="5"/>
      <c r="F32" s="5"/>
      <c r="G32" s="3" t="str">
        <f t="shared" si="2"/>
        <v/>
      </c>
    </row>
    <row r="33" spans="1:7" x14ac:dyDescent="0.25">
      <c r="A33" s="1">
        <f t="shared" ca="1" si="0"/>
        <v>45572</v>
      </c>
      <c r="B33" s="4">
        <f t="shared" ca="1" si="1"/>
        <v>2719</v>
      </c>
      <c r="C33" s="5"/>
      <c r="D33" s="5"/>
      <c r="E33" s="5"/>
      <c r="F33" s="5"/>
      <c r="G33" s="3" t="str">
        <f t="shared" si="2"/>
        <v/>
      </c>
    </row>
    <row r="34" spans="1:7" x14ac:dyDescent="0.25">
      <c r="A34" s="1">
        <f t="shared" ca="1" si="0"/>
        <v>45603</v>
      </c>
      <c r="B34" s="4">
        <f t="shared" ca="1" si="1"/>
        <v>2522</v>
      </c>
      <c r="C34" s="5"/>
      <c r="D34" s="5"/>
      <c r="E34" s="5"/>
      <c r="F34" s="5"/>
      <c r="G34" s="3" t="str">
        <f t="shared" si="2"/>
        <v/>
      </c>
    </row>
    <row r="35" spans="1:7" x14ac:dyDescent="0.25">
      <c r="A35" s="1">
        <f t="shared" ca="1" si="0"/>
        <v>45615</v>
      </c>
      <c r="B35" s="4">
        <f t="shared" ca="1" si="1"/>
        <v>4374</v>
      </c>
      <c r="C35" s="5"/>
      <c r="D35" s="5"/>
      <c r="E35" s="5"/>
      <c r="F35" s="5"/>
      <c r="G35" s="3" t="str">
        <f t="shared" si="2"/>
        <v/>
      </c>
    </row>
    <row r="36" spans="1:7" x14ac:dyDescent="0.25">
      <c r="A36" s="1">
        <f t="shared" ca="1" si="0"/>
        <v>45566</v>
      </c>
      <c r="B36" s="4">
        <f t="shared" ca="1" si="1"/>
        <v>1962</v>
      </c>
      <c r="C36" s="5"/>
      <c r="D36" s="5"/>
      <c r="E36" s="5"/>
      <c r="F36" s="5"/>
      <c r="G36" s="3" t="str">
        <f t="shared" si="2"/>
        <v/>
      </c>
    </row>
    <row r="37" spans="1:7" x14ac:dyDescent="0.25">
      <c r="A37" s="1">
        <f t="shared" ca="1" si="0"/>
        <v>45603</v>
      </c>
      <c r="B37" s="4">
        <f t="shared" ca="1" si="1"/>
        <v>4513</v>
      </c>
      <c r="C37" s="5"/>
      <c r="D37" s="5"/>
      <c r="E37" s="5"/>
      <c r="F37" s="5"/>
      <c r="G37" s="3" t="str">
        <f t="shared" si="2"/>
        <v/>
      </c>
    </row>
    <row r="38" spans="1:7" x14ac:dyDescent="0.25">
      <c r="A38" s="1">
        <f t="shared" ca="1" si="0"/>
        <v>45613</v>
      </c>
      <c r="B38" s="4">
        <f t="shared" ca="1" si="1"/>
        <v>3682</v>
      </c>
      <c r="C38" s="5"/>
      <c r="D38" s="5"/>
      <c r="E38" s="5"/>
      <c r="F38" s="5"/>
      <c r="G38" s="3" t="str">
        <f t="shared" si="2"/>
        <v/>
      </c>
    </row>
    <row r="39" spans="1:7" x14ac:dyDescent="0.25">
      <c r="A39" s="1">
        <f t="shared" ca="1" si="0"/>
        <v>45613</v>
      </c>
      <c r="B39" s="4">
        <f t="shared" ca="1" si="1"/>
        <v>4685</v>
      </c>
      <c r="C39" s="5"/>
      <c r="D39" s="5"/>
      <c r="E39" s="5"/>
      <c r="F39" s="5"/>
      <c r="G39" s="3" t="str">
        <f t="shared" si="2"/>
        <v/>
      </c>
    </row>
    <row r="40" spans="1:7" x14ac:dyDescent="0.25">
      <c r="A40" s="1">
        <f t="shared" ca="1" si="0"/>
        <v>45596</v>
      </c>
      <c r="B40" s="4">
        <f t="shared" ca="1" si="1"/>
        <v>4427</v>
      </c>
      <c r="C40" s="5"/>
      <c r="D40" s="5"/>
      <c r="E40" s="5"/>
      <c r="F40" s="5"/>
      <c r="G40" s="3" t="str">
        <f t="shared" si="2"/>
        <v/>
      </c>
    </row>
    <row r="41" spans="1:7" x14ac:dyDescent="0.25">
      <c r="A41" s="1">
        <f t="shared" ca="1" si="0"/>
        <v>45587</v>
      </c>
      <c r="B41" s="4">
        <f t="shared" ca="1" si="1"/>
        <v>3110</v>
      </c>
      <c r="C41" s="5"/>
      <c r="D41" s="5"/>
      <c r="E41" s="5"/>
      <c r="F41" s="5"/>
      <c r="G41" s="3" t="str">
        <f t="shared" si="2"/>
        <v/>
      </c>
    </row>
    <row r="42" spans="1:7" x14ac:dyDescent="0.25">
      <c r="A42" s="1">
        <f t="shared" ca="1" si="0"/>
        <v>45600</v>
      </c>
      <c r="B42" s="4">
        <f t="shared" ca="1" si="1"/>
        <v>3387</v>
      </c>
      <c r="C42" s="5"/>
      <c r="D42" s="5"/>
      <c r="E42" s="5"/>
      <c r="F42" s="5"/>
      <c r="G42" s="3" t="str">
        <f t="shared" si="2"/>
        <v/>
      </c>
    </row>
    <row r="43" spans="1:7" x14ac:dyDescent="0.25">
      <c r="A43" s="1">
        <f t="shared" ca="1" si="0"/>
        <v>45602</v>
      </c>
      <c r="B43" s="4">
        <f t="shared" ca="1" si="1"/>
        <v>1003</v>
      </c>
      <c r="C43" s="5"/>
      <c r="D43" s="5"/>
      <c r="E43" s="5"/>
      <c r="F43" s="5"/>
      <c r="G43" s="3" t="str">
        <f t="shared" si="2"/>
        <v/>
      </c>
    </row>
    <row r="44" spans="1:7" x14ac:dyDescent="0.25">
      <c r="A44" s="1">
        <f t="shared" ca="1" si="0"/>
        <v>45570</v>
      </c>
      <c r="B44" s="4">
        <f t="shared" ca="1" si="1"/>
        <v>3618</v>
      </c>
      <c r="C44" s="5"/>
      <c r="D44" s="5"/>
      <c r="E44" s="5"/>
      <c r="F44" s="5"/>
      <c r="G44" s="3" t="str">
        <f t="shared" si="2"/>
        <v/>
      </c>
    </row>
    <row r="45" spans="1:7" x14ac:dyDescent="0.25">
      <c r="A45" s="1">
        <f t="shared" ca="1" si="0"/>
        <v>45593</v>
      </c>
      <c r="B45" s="4">
        <f t="shared" ca="1" si="1"/>
        <v>2875</v>
      </c>
      <c r="C45" s="5"/>
      <c r="D45" s="5"/>
      <c r="E45" s="5"/>
      <c r="F45" s="5"/>
      <c r="G45" s="3" t="str">
        <f t="shared" si="2"/>
        <v/>
      </c>
    </row>
    <row r="46" spans="1:7" x14ac:dyDescent="0.25">
      <c r="A46" s="1">
        <f t="shared" ca="1" si="0"/>
        <v>45569</v>
      </c>
      <c r="B46" s="4">
        <f t="shared" ca="1" si="1"/>
        <v>3000</v>
      </c>
      <c r="C46" s="5"/>
      <c r="D46" s="5"/>
      <c r="E46" s="5"/>
      <c r="F46" s="5"/>
      <c r="G46" s="3" t="str">
        <f t="shared" si="2"/>
        <v/>
      </c>
    </row>
    <row r="47" spans="1:7" x14ac:dyDescent="0.25">
      <c r="A47" s="1">
        <f t="shared" ca="1" si="0"/>
        <v>45597</v>
      </c>
      <c r="B47" s="4">
        <f t="shared" ca="1" si="1"/>
        <v>1451</v>
      </c>
      <c r="C47" s="5"/>
      <c r="D47" s="5"/>
      <c r="E47" s="5"/>
      <c r="F47" s="5"/>
      <c r="G47" s="3" t="str">
        <f t="shared" si="2"/>
        <v/>
      </c>
    </row>
    <row r="48" spans="1:7" x14ac:dyDescent="0.25">
      <c r="A48" s="1">
        <f t="shared" ca="1" si="0"/>
        <v>45591</v>
      </c>
      <c r="B48" s="4">
        <f t="shared" ca="1" si="1"/>
        <v>3671</v>
      </c>
      <c r="C48" s="5"/>
      <c r="D48" s="5"/>
      <c r="E48" s="5"/>
      <c r="F48" s="5"/>
      <c r="G48" s="3" t="str">
        <f t="shared" si="2"/>
        <v/>
      </c>
    </row>
    <row r="49" spans="1:7" x14ac:dyDescent="0.25">
      <c r="A49" s="1">
        <f t="shared" ca="1" si="0"/>
        <v>45561</v>
      </c>
      <c r="B49" s="4">
        <f t="shared" ca="1" si="1"/>
        <v>2029</v>
      </c>
      <c r="C49" s="5"/>
      <c r="D49" s="5"/>
      <c r="E49" s="5"/>
      <c r="F49" s="5"/>
      <c r="G49" s="3" t="str">
        <f t="shared" si="2"/>
        <v/>
      </c>
    </row>
    <row r="50" spans="1:7" x14ac:dyDescent="0.25">
      <c r="A50" s="1">
        <f t="shared" ca="1" si="0"/>
        <v>45571</v>
      </c>
      <c r="B50" s="4">
        <f t="shared" ca="1" si="1"/>
        <v>547</v>
      </c>
      <c r="C50" s="5"/>
      <c r="D50" s="5"/>
      <c r="E50" s="5"/>
      <c r="F50" s="5"/>
      <c r="G50" s="3" t="str">
        <f t="shared" si="2"/>
        <v/>
      </c>
    </row>
    <row r="51" spans="1:7" x14ac:dyDescent="0.25">
      <c r="A51" s="1">
        <f t="shared" ca="1" si="0"/>
        <v>45580</v>
      </c>
      <c r="B51" s="4">
        <f t="shared" ca="1" si="1"/>
        <v>4383</v>
      </c>
      <c r="C51" s="5"/>
      <c r="D51" s="5"/>
      <c r="E51" s="5"/>
      <c r="F51" s="5"/>
      <c r="G51" s="3" t="str">
        <f t="shared" si="2"/>
        <v/>
      </c>
    </row>
    <row r="52" spans="1:7" x14ac:dyDescent="0.25">
      <c r="A52" s="1">
        <f t="shared" ca="1" si="0"/>
        <v>45602</v>
      </c>
      <c r="B52" s="4">
        <f t="shared" ca="1" si="1"/>
        <v>4065</v>
      </c>
      <c r="C52" s="5"/>
      <c r="D52" s="5"/>
      <c r="E52" s="5"/>
      <c r="F52" s="5"/>
      <c r="G52" s="3" t="str">
        <f t="shared" si="2"/>
        <v/>
      </c>
    </row>
    <row r="53" spans="1:7" x14ac:dyDescent="0.25">
      <c r="A53" s="1">
        <f t="shared" ca="1" si="0"/>
        <v>45565</v>
      </c>
      <c r="B53" s="4">
        <f t="shared" ca="1" si="1"/>
        <v>1708</v>
      </c>
      <c r="C53" s="5"/>
      <c r="D53" s="5"/>
      <c r="E53" s="5"/>
      <c r="F53" s="5"/>
      <c r="G53" s="3" t="str">
        <f t="shared" si="2"/>
        <v/>
      </c>
    </row>
    <row r="54" spans="1:7" x14ac:dyDescent="0.25">
      <c r="A54" s="1">
        <f t="shared" ca="1" si="0"/>
        <v>45576</v>
      </c>
      <c r="B54" s="4">
        <f t="shared" ca="1" si="1"/>
        <v>3991</v>
      </c>
      <c r="C54" s="5"/>
      <c r="D54" s="5"/>
      <c r="E54" s="5"/>
      <c r="F54" s="5"/>
      <c r="G54" s="3" t="str">
        <f t="shared" si="2"/>
        <v/>
      </c>
    </row>
    <row r="55" spans="1:7" x14ac:dyDescent="0.25">
      <c r="A55" s="1">
        <f t="shared" ca="1" si="0"/>
        <v>45601</v>
      </c>
      <c r="B55" s="4">
        <f t="shared" ca="1" si="1"/>
        <v>2842</v>
      </c>
      <c r="C55" s="5"/>
      <c r="D55" s="5"/>
      <c r="E55" s="5"/>
      <c r="F55" s="5"/>
      <c r="G55" s="3" t="str">
        <f t="shared" si="2"/>
        <v/>
      </c>
    </row>
    <row r="56" spans="1:7" x14ac:dyDescent="0.25">
      <c r="A56" s="1">
        <f t="shared" ca="1" si="0"/>
        <v>45610</v>
      </c>
      <c r="B56" s="4">
        <f t="shared" ca="1" si="1"/>
        <v>3970</v>
      </c>
      <c r="C56" s="5"/>
      <c r="D56" s="5"/>
      <c r="E56" s="5"/>
      <c r="F56" s="5"/>
      <c r="G56" s="3" t="str">
        <f t="shared" si="2"/>
        <v/>
      </c>
    </row>
    <row r="57" spans="1:7" x14ac:dyDescent="0.25">
      <c r="A57" s="1">
        <f t="shared" ca="1" si="0"/>
        <v>45604</v>
      </c>
      <c r="B57" s="4">
        <f t="shared" ca="1" si="1"/>
        <v>4156</v>
      </c>
      <c r="C57" s="5"/>
      <c r="D57" s="5"/>
      <c r="E57" s="5"/>
      <c r="F57" s="5"/>
      <c r="G57" s="3" t="str">
        <f t="shared" si="2"/>
        <v/>
      </c>
    </row>
    <row r="58" spans="1:7" x14ac:dyDescent="0.25">
      <c r="A58" s="1">
        <f t="shared" ca="1" si="0"/>
        <v>45569</v>
      </c>
      <c r="B58" s="4">
        <f t="shared" ca="1" si="1"/>
        <v>3698</v>
      </c>
      <c r="C58" s="5"/>
      <c r="D58" s="5"/>
      <c r="E58" s="5"/>
      <c r="F58" s="5"/>
      <c r="G58" s="3" t="str">
        <f t="shared" si="2"/>
        <v/>
      </c>
    </row>
    <row r="59" spans="1:7" x14ac:dyDescent="0.25">
      <c r="A59" s="1">
        <f t="shared" ca="1" si="0"/>
        <v>45590</v>
      </c>
      <c r="B59" s="4">
        <f t="shared" ca="1" si="1"/>
        <v>3200</v>
      </c>
      <c r="C59" s="5"/>
      <c r="D59" s="5"/>
      <c r="E59" s="5"/>
      <c r="F59" s="5"/>
      <c r="G59" s="3" t="str">
        <f t="shared" si="2"/>
        <v/>
      </c>
    </row>
    <row r="60" spans="1:7" x14ac:dyDescent="0.25">
      <c r="A60" s="1">
        <f t="shared" ca="1" si="0"/>
        <v>45578</v>
      </c>
      <c r="B60" s="4">
        <f t="shared" ca="1" si="1"/>
        <v>4427</v>
      </c>
      <c r="C60" s="5"/>
      <c r="D60" s="5"/>
      <c r="E60" s="5"/>
      <c r="F60" s="5"/>
      <c r="G60" s="3" t="str">
        <f t="shared" si="2"/>
        <v/>
      </c>
    </row>
    <row r="61" spans="1:7" x14ac:dyDescent="0.25">
      <c r="A61" s="1">
        <f t="shared" ca="1" si="0"/>
        <v>45596</v>
      </c>
      <c r="B61" s="4">
        <f t="shared" ca="1" si="1"/>
        <v>3597</v>
      </c>
      <c r="C61" s="5"/>
      <c r="D61" s="5"/>
      <c r="E61" s="5"/>
      <c r="F61" s="5"/>
      <c r="G61" s="3" t="str">
        <f t="shared" si="2"/>
        <v/>
      </c>
    </row>
    <row r="62" spans="1:7" x14ac:dyDescent="0.25">
      <c r="A62" s="1">
        <f t="shared" ca="1" si="0"/>
        <v>45581</v>
      </c>
      <c r="B62" s="4">
        <f t="shared" ca="1" si="1"/>
        <v>1456</v>
      </c>
      <c r="C62" s="5"/>
      <c r="D62" s="5"/>
      <c r="E62" s="5"/>
      <c r="F62" s="5"/>
      <c r="G62" s="3" t="str">
        <f t="shared" si="2"/>
        <v/>
      </c>
    </row>
  </sheetData>
  <conditionalFormatting sqref="G11:G62">
    <cfRule type="containsBlanks" dxfId="11" priority="1">
      <formula>LEN(TRIM(G11))=0</formula>
    </cfRule>
    <cfRule type="containsText" dxfId="10" priority="2" operator="containsText" text="✘">
      <formula>NOT(ISERROR(SEARCH("✘",G11)))</formula>
    </cfRule>
    <cfRule type="containsText" dxfId="9" priority="3" operator="containsText" text="✔">
      <formula>NOT(ISERROR(SEARCH("✔",G11)))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27447"/>
  </sheetPr>
  <dimension ref="B4:K47"/>
  <sheetViews>
    <sheetView showGridLines="0" workbookViewId="0"/>
  </sheetViews>
  <sheetFormatPr defaultColWidth="9.140625" defaultRowHeight="15" x14ac:dyDescent="0.25"/>
  <cols>
    <col min="2" max="2" width="15.140625" bestFit="1" customWidth="1"/>
    <col min="3" max="3" width="14.7109375" bestFit="1" customWidth="1"/>
    <col min="4" max="4" width="20" bestFit="1" customWidth="1"/>
    <col min="5" max="6" width="16.140625" bestFit="1" customWidth="1"/>
    <col min="8" max="8" width="16.85546875" bestFit="1" customWidth="1"/>
    <col min="9" max="9" width="15.85546875" bestFit="1" customWidth="1"/>
    <col min="10" max="10" width="18" bestFit="1" customWidth="1"/>
    <col min="11" max="11" width="16.85546875" bestFit="1" customWidth="1"/>
  </cols>
  <sheetData>
    <row r="4" spans="2:11" ht="59.25" customHeight="1" x14ac:dyDescent="0.25"/>
    <row r="5" spans="2:11" x14ac:dyDescent="0.25">
      <c r="H5" s="6"/>
      <c r="I5" s="6" t="s">
        <v>409</v>
      </c>
      <c r="J5" s="6" t="s">
        <v>410</v>
      </c>
      <c r="K5" s="6" t="s">
        <v>411</v>
      </c>
    </row>
    <row r="6" spans="2:11" x14ac:dyDescent="0.25">
      <c r="H6" s="6" t="s">
        <v>412</v>
      </c>
      <c r="I6" s="10">
        <v>500</v>
      </c>
      <c r="J6" s="10">
        <v>800</v>
      </c>
      <c r="K6" s="10">
        <v>100</v>
      </c>
    </row>
    <row r="7" spans="2:11" x14ac:dyDescent="0.25">
      <c r="H7" s="6" t="s">
        <v>413</v>
      </c>
      <c r="I7" s="10">
        <v>70</v>
      </c>
      <c r="J7" s="10">
        <v>40</v>
      </c>
      <c r="K7" s="10">
        <v>120</v>
      </c>
    </row>
    <row r="8" spans="2:11" ht="17.25" x14ac:dyDescent="0.3">
      <c r="B8" s="9" t="s">
        <v>404</v>
      </c>
      <c r="C8" s="9" t="s">
        <v>405</v>
      </c>
      <c r="D8" s="9" t="s">
        <v>406</v>
      </c>
      <c r="E8" s="9" t="s">
        <v>407</v>
      </c>
      <c r="F8" s="9" t="s">
        <v>408</v>
      </c>
    </row>
    <row r="9" spans="2:11" x14ac:dyDescent="0.25">
      <c r="B9" t="s">
        <v>311</v>
      </c>
      <c r="C9" s="8">
        <f ca="1">RANDBETWEEN(1,20)</f>
        <v>8</v>
      </c>
      <c r="D9" s="5"/>
      <c r="E9" s="5"/>
      <c r="F9" s="5"/>
      <c r="G9" s="3" t="str">
        <f>IF(F9="","",IF(SUM(D9:F9)=$I$6+$C9*$I$7+$J$6+$C9*$J$7+$K$6+$C9*$K$7,"✔","✘"))</f>
        <v/>
      </c>
    </row>
    <row r="10" spans="2:11" x14ac:dyDescent="0.25">
      <c r="B10" t="s">
        <v>312</v>
      </c>
      <c r="C10" s="8">
        <f t="shared" ref="C10:C47" ca="1" si="0">RANDBETWEEN(1,20)</f>
        <v>7</v>
      </c>
      <c r="D10" s="5"/>
      <c r="E10" s="5"/>
      <c r="F10" s="5"/>
      <c r="G10" s="3" t="str">
        <f t="shared" ref="G10:G47" si="1">IF(F10="","",IF(SUM(D10:F10)=$I$6+$C10*$I$7+$J$6+$C10*$J$7+$K$6+$C10*$K$7,"✔","✘"))</f>
        <v/>
      </c>
    </row>
    <row r="11" spans="2:11" x14ac:dyDescent="0.25">
      <c r="B11" t="s">
        <v>313</v>
      </c>
      <c r="C11" s="8">
        <f t="shared" ca="1" si="0"/>
        <v>13</v>
      </c>
      <c r="D11" s="5"/>
      <c r="E11" s="5"/>
      <c r="F11" s="5"/>
      <c r="G11" s="3" t="str">
        <f t="shared" si="1"/>
        <v/>
      </c>
    </row>
    <row r="12" spans="2:11" x14ac:dyDescent="0.25">
      <c r="B12" t="s">
        <v>314</v>
      </c>
      <c r="C12" s="8">
        <f t="shared" ca="1" si="0"/>
        <v>1</v>
      </c>
      <c r="D12" s="5"/>
      <c r="E12" s="5"/>
      <c r="F12" s="5"/>
      <c r="G12" s="3" t="str">
        <f t="shared" si="1"/>
        <v/>
      </c>
    </row>
    <row r="13" spans="2:11" x14ac:dyDescent="0.25">
      <c r="B13" t="s">
        <v>315</v>
      </c>
      <c r="C13" s="8">
        <f t="shared" ca="1" si="0"/>
        <v>9</v>
      </c>
      <c r="D13" s="5"/>
      <c r="E13" s="5"/>
      <c r="F13" s="5"/>
      <c r="G13" s="3" t="str">
        <f t="shared" si="1"/>
        <v/>
      </c>
    </row>
    <row r="14" spans="2:11" x14ac:dyDescent="0.25">
      <c r="B14" t="s">
        <v>316</v>
      </c>
      <c r="C14" s="8">
        <f t="shared" ca="1" si="0"/>
        <v>17</v>
      </c>
      <c r="D14" s="5"/>
      <c r="E14" s="5"/>
      <c r="F14" s="5"/>
      <c r="G14" s="3" t="str">
        <f t="shared" si="1"/>
        <v/>
      </c>
    </row>
    <row r="15" spans="2:11" x14ac:dyDescent="0.25">
      <c r="B15" t="s">
        <v>317</v>
      </c>
      <c r="C15" s="8">
        <f t="shared" ca="1" si="0"/>
        <v>8</v>
      </c>
      <c r="D15" s="5"/>
      <c r="E15" s="5"/>
      <c r="F15" s="5"/>
      <c r="G15" s="3" t="str">
        <f t="shared" si="1"/>
        <v/>
      </c>
    </row>
    <row r="16" spans="2:11" x14ac:dyDescent="0.25">
      <c r="B16" t="s">
        <v>318</v>
      </c>
      <c r="C16" s="8">
        <f t="shared" ca="1" si="0"/>
        <v>3</v>
      </c>
      <c r="D16" s="5"/>
      <c r="E16" s="5"/>
      <c r="F16" s="5"/>
      <c r="G16" s="3" t="str">
        <f t="shared" si="1"/>
        <v/>
      </c>
    </row>
    <row r="17" spans="2:7" x14ac:dyDescent="0.25">
      <c r="B17" t="s">
        <v>319</v>
      </c>
      <c r="C17" s="8">
        <f t="shared" ca="1" si="0"/>
        <v>13</v>
      </c>
      <c r="D17" s="5"/>
      <c r="E17" s="5"/>
      <c r="F17" s="5"/>
      <c r="G17" s="3" t="str">
        <f t="shared" si="1"/>
        <v/>
      </c>
    </row>
    <row r="18" spans="2:7" x14ac:dyDescent="0.25">
      <c r="B18" t="s">
        <v>320</v>
      </c>
      <c r="C18" s="8">
        <f t="shared" ca="1" si="0"/>
        <v>12</v>
      </c>
      <c r="D18" s="5"/>
      <c r="E18" s="5"/>
      <c r="F18" s="5"/>
      <c r="G18" s="3" t="str">
        <f t="shared" si="1"/>
        <v/>
      </c>
    </row>
    <row r="19" spans="2:7" x14ac:dyDescent="0.25">
      <c r="B19" t="s">
        <v>321</v>
      </c>
      <c r="C19" s="8">
        <f t="shared" ca="1" si="0"/>
        <v>7</v>
      </c>
      <c r="D19" s="5"/>
      <c r="E19" s="5"/>
      <c r="F19" s="5"/>
      <c r="G19" s="3" t="str">
        <f t="shared" si="1"/>
        <v/>
      </c>
    </row>
    <row r="20" spans="2:7" x14ac:dyDescent="0.25">
      <c r="B20" t="s">
        <v>322</v>
      </c>
      <c r="C20" s="8">
        <f t="shared" ca="1" si="0"/>
        <v>4</v>
      </c>
      <c r="D20" s="5"/>
      <c r="E20" s="5"/>
      <c r="F20" s="5"/>
      <c r="G20" s="3" t="str">
        <f t="shared" si="1"/>
        <v/>
      </c>
    </row>
    <row r="21" spans="2:7" x14ac:dyDescent="0.25">
      <c r="B21" t="s">
        <v>323</v>
      </c>
      <c r="C21" s="8">
        <f t="shared" ca="1" si="0"/>
        <v>18</v>
      </c>
      <c r="D21" s="5"/>
      <c r="E21" s="5"/>
      <c r="F21" s="5"/>
      <c r="G21" s="3" t="str">
        <f t="shared" si="1"/>
        <v/>
      </c>
    </row>
    <row r="22" spans="2:7" x14ac:dyDescent="0.25">
      <c r="B22" t="s">
        <v>324</v>
      </c>
      <c r="C22" s="8">
        <f t="shared" ca="1" si="0"/>
        <v>7</v>
      </c>
      <c r="D22" s="5"/>
      <c r="E22" s="5"/>
      <c r="F22" s="5"/>
      <c r="G22" s="3" t="str">
        <f t="shared" si="1"/>
        <v/>
      </c>
    </row>
    <row r="23" spans="2:7" x14ac:dyDescent="0.25">
      <c r="B23" t="s">
        <v>325</v>
      </c>
      <c r="C23" s="8">
        <f t="shared" ca="1" si="0"/>
        <v>4</v>
      </c>
      <c r="D23" s="5"/>
      <c r="E23" s="5"/>
      <c r="F23" s="5"/>
      <c r="G23" s="3" t="str">
        <f t="shared" si="1"/>
        <v/>
      </c>
    </row>
    <row r="24" spans="2:7" x14ac:dyDescent="0.25">
      <c r="B24" t="s">
        <v>326</v>
      </c>
      <c r="C24" s="8">
        <f t="shared" ca="1" si="0"/>
        <v>14</v>
      </c>
      <c r="D24" s="5"/>
      <c r="E24" s="5"/>
      <c r="F24" s="5"/>
      <c r="G24" s="3" t="str">
        <f t="shared" si="1"/>
        <v/>
      </c>
    </row>
    <row r="25" spans="2:7" x14ac:dyDescent="0.25">
      <c r="B25" t="s">
        <v>327</v>
      </c>
      <c r="C25" s="8">
        <f t="shared" ca="1" si="0"/>
        <v>14</v>
      </c>
      <c r="D25" s="5"/>
      <c r="E25" s="5"/>
      <c r="F25" s="5"/>
      <c r="G25" s="3" t="str">
        <f t="shared" si="1"/>
        <v/>
      </c>
    </row>
    <row r="26" spans="2:7" x14ac:dyDescent="0.25">
      <c r="B26" t="s">
        <v>328</v>
      </c>
      <c r="C26" s="8">
        <f t="shared" ca="1" si="0"/>
        <v>2</v>
      </c>
      <c r="D26" s="5"/>
      <c r="E26" s="5"/>
      <c r="F26" s="5"/>
      <c r="G26" s="3" t="str">
        <f t="shared" si="1"/>
        <v/>
      </c>
    </row>
    <row r="27" spans="2:7" x14ac:dyDescent="0.25">
      <c r="B27" t="s">
        <v>329</v>
      </c>
      <c r="C27" s="8">
        <f t="shared" ca="1" si="0"/>
        <v>14</v>
      </c>
      <c r="D27" s="5"/>
      <c r="E27" s="5"/>
      <c r="F27" s="5"/>
      <c r="G27" s="3" t="str">
        <f t="shared" si="1"/>
        <v/>
      </c>
    </row>
    <row r="28" spans="2:7" x14ac:dyDescent="0.25">
      <c r="B28" t="s">
        <v>330</v>
      </c>
      <c r="C28" s="8">
        <f t="shared" ca="1" si="0"/>
        <v>8</v>
      </c>
      <c r="D28" s="5"/>
      <c r="E28" s="5"/>
      <c r="F28" s="5"/>
      <c r="G28" s="3" t="str">
        <f t="shared" si="1"/>
        <v/>
      </c>
    </row>
    <row r="29" spans="2:7" x14ac:dyDescent="0.25">
      <c r="B29" t="s">
        <v>331</v>
      </c>
      <c r="C29" s="8">
        <f t="shared" ca="1" si="0"/>
        <v>20</v>
      </c>
      <c r="D29" s="5"/>
      <c r="E29" s="5"/>
      <c r="F29" s="5"/>
      <c r="G29" s="3" t="str">
        <f t="shared" si="1"/>
        <v/>
      </c>
    </row>
    <row r="30" spans="2:7" x14ac:dyDescent="0.25">
      <c r="B30" t="s">
        <v>332</v>
      </c>
      <c r="C30" s="8">
        <f t="shared" ca="1" si="0"/>
        <v>15</v>
      </c>
      <c r="D30" s="5"/>
      <c r="E30" s="5"/>
      <c r="F30" s="5"/>
      <c r="G30" s="3" t="str">
        <f t="shared" si="1"/>
        <v/>
      </c>
    </row>
    <row r="31" spans="2:7" x14ac:dyDescent="0.25">
      <c r="B31" t="s">
        <v>333</v>
      </c>
      <c r="C31" s="8">
        <f t="shared" ca="1" si="0"/>
        <v>18</v>
      </c>
      <c r="D31" s="5"/>
      <c r="E31" s="5"/>
      <c r="F31" s="5"/>
      <c r="G31" s="3" t="str">
        <f t="shared" si="1"/>
        <v/>
      </c>
    </row>
    <row r="32" spans="2:7" x14ac:dyDescent="0.25">
      <c r="B32" t="s">
        <v>334</v>
      </c>
      <c r="C32" s="8">
        <f t="shared" ca="1" si="0"/>
        <v>11</v>
      </c>
      <c r="D32" s="5"/>
      <c r="E32" s="5"/>
      <c r="F32" s="5"/>
      <c r="G32" s="3" t="str">
        <f t="shared" si="1"/>
        <v/>
      </c>
    </row>
    <row r="33" spans="2:7" x14ac:dyDescent="0.25">
      <c r="B33" t="s">
        <v>335</v>
      </c>
      <c r="C33" s="8">
        <f t="shared" ca="1" si="0"/>
        <v>1</v>
      </c>
      <c r="D33" s="5"/>
      <c r="E33" s="5"/>
      <c r="F33" s="5"/>
      <c r="G33" s="3" t="str">
        <f t="shared" si="1"/>
        <v/>
      </c>
    </row>
    <row r="34" spans="2:7" x14ac:dyDescent="0.25">
      <c r="B34" t="s">
        <v>336</v>
      </c>
      <c r="C34" s="8">
        <f t="shared" ca="1" si="0"/>
        <v>3</v>
      </c>
      <c r="D34" s="5"/>
      <c r="E34" s="5"/>
      <c r="F34" s="5"/>
      <c r="G34" s="3" t="str">
        <f t="shared" si="1"/>
        <v/>
      </c>
    </row>
    <row r="35" spans="2:7" x14ac:dyDescent="0.25">
      <c r="B35" t="s">
        <v>337</v>
      </c>
      <c r="C35" s="8">
        <f t="shared" ca="1" si="0"/>
        <v>8</v>
      </c>
      <c r="D35" s="5"/>
      <c r="E35" s="5"/>
      <c r="F35" s="5"/>
      <c r="G35" s="3" t="str">
        <f t="shared" si="1"/>
        <v/>
      </c>
    </row>
    <row r="36" spans="2:7" x14ac:dyDescent="0.25">
      <c r="B36" t="s">
        <v>338</v>
      </c>
      <c r="C36" s="8">
        <f t="shared" ca="1" si="0"/>
        <v>13</v>
      </c>
      <c r="D36" s="5"/>
      <c r="E36" s="5"/>
      <c r="F36" s="5"/>
      <c r="G36" s="3" t="str">
        <f t="shared" si="1"/>
        <v/>
      </c>
    </row>
    <row r="37" spans="2:7" x14ac:dyDescent="0.25">
      <c r="B37" t="s">
        <v>339</v>
      </c>
      <c r="C37" s="8">
        <f t="shared" ca="1" si="0"/>
        <v>1</v>
      </c>
      <c r="D37" s="5"/>
      <c r="E37" s="5"/>
      <c r="F37" s="5"/>
      <c r="G37" s="3" t="str">
        <f t="shared" si="1"/>
        <v/>
      </c>
    </row>
    <row r="38" spans="2:7" x14ac:dyDescent="0.25">
      <c r="B38" t="s">
        <v>340</v>
      </c>
      <c r="C38" s="8">
        <f t="shared" ca="1" si="0"/>
        <v>8</v>
      </c>
      <c r="D38" s="5"/>
      <c r="E38" s="5"/>
      <c r="F38" s="5"/>
      <c r="G38" s="3" t="str">
        <f t="shared" si="1"/>
        <v/>
      </c>
    </row>
    <row r="39" spans="2:7" x14ac:dyDescent="0.25">
      <c r="B39" t="s">
        <v>341</v>
      </c>
      <c r="C39" s="8">
        <f t="shared" ca="1" si="0"/>
        <v>13</v>
      </c>
      <c r="D39" s="5"/>
      <c r="E39" s="5"/>
      <c r="F39" s="5"/>
      <c r="G39" s="3" t="str">
        <f t="shared" si="1"/>
        <v/>
      </c>
    </row>
    <row r="40" spans="2:7" x14ac:dyDescent="0.25">
      <c r="B40" t="s">
        <v>342</v>
      </c>
      <c r="C40" s="8">
        <f t="shared" ca="1" si="0"/>
        <v>19</v>
      </c>
      <c r="D40" s="5"/>
      <c r="E40" s="5"/>
      <c r="F40" s="5"/>
      <c r="G40" s="3" t="str">
        <f t="shared" si="1"/>
        <v/>
      </c>
    </row>
    <row r="41" spans="2:7" x14ac:dyDescent="0.25">
      <c r="B41" t="s">
        <v>343</v>
      </c>
      <c r="C41" s="8">
        <f t="shared" ca="1" si="0"/>
        <v>4</v>
      </c>
      <c r="D41" s="5"/>
      <c r="E41" s="5"/>
      <c r="F41" s="5"/>
      <c r="G41" s="3" t="str">
        <f t="shared" si="1"/>
        <v/>
      </c>
    </row>
    <row r="42" spans="2:7" x14ac:dyDescent="0.25">
      <c r="B42" t="s">
        <v>344</v>
      </c>
      <c r="C42" s="8">
        <f t="shared" ca="1" si="0"/>
        <v>10</v>
      </c>
      <c r="D42" s="5"/>
      <c r="E42" s="5"/>
      <c r="F42" s="5"/>
      <c r="G42" s="3" t="str">
        <f t="shared" si="1"/>
        <v/>
      </c>
    </row>
    <row r="43" spans="2:7" x14ac:dyDescent="0.25">
      <c r="B43" t="s">
        <v>345</v>
      </c>
      <c r="C43" s="8">
        <f t="shared" ca="1" si="0"/>
        <v>16</v>
      </c>
      <c r="D43" s="5"/>
      <c r="E43" s="5"/>
      <c r="F43" s="5"/>
      <c r="G43" s="3" t="str">
        <f t="shared" si="1"/>
        <v/>
      </c>
    </row>
    <row r="44" spans="2:7" x14ac:dyDescent="0.25">
      <c r="B44" t="s">
        <v>346</v>
      </c>
      <c r="C44" s="8">
        <f t="shared" ca="1" si="0"/>
        <v>15</v>
      </c>
      <c r="D44" s="5"/>
      <c r="E44" s="5"/>
      <c r="F44" s="5"/>
      <c r="G44" s="3" t="str">
        <f t="shared" si="1"/>
        <v/>
      </c>
    </row>
    <row r="45" spans="2:7" x14ac:dyDescent="0.25">
      <c r="B45" t="s">
        <v>347</v>
      </c>
      <c r="C45" s="8">
        <f t="shared" ca="1" si="0"/>
        <v>7</v>
      </c>
      <c r="D45" s="5"/>
      <c r="E45" s="5"/>
      <c r="F45" s="5"/>
      <c r="G45" s="3" t="str">
        <f t="shared" si="1"/>
        <v/>
      </c>
    </row>
    <row r="46" spans="2:7" x14ac:dyDescent="0.25">
      <c r="B46" t="s">
        <v>348</v>
      </c>
      <c r="C46" s="8">
        <f t="shared" ca="1" si="0"/>
        <v>3</v>
      </c>
      <c r="D46" s="5"/>
      <c r="E46" s="5"/>
      <c r="F46" s="5"/>
      <c r="G46" s="3" t="str">
        <f t="shared" si="1"/>
        <v/>
      </c>
    </row>
    <row r="47" spans="2:7" x14ac:dyDescent="0.25">
      <c r="B47" t="s">
        <v>349</v>
      </c>
      <c r="C47" s="8">
        <f t="shared" ca="1" si="0"/>
        <v>16</v>
      </c>
      <c r="D47" s="5"/>
      <c r="E47" s="5"/>
      <c r="F47" s="5"/>
      <c r="G47" s="3" t="str">
        <f t="shared" si="1"/>
        <v/>
      </c>
    </row>
  </sheetData>
  <phoneticPr fontId="12" type="noConversion"/>
  <conditionalFormatting sqref="G9:G47">
    <cfRule type="containsBlanks" dxfId="8" priority="1">
      <formula>LEN(TRIM(G9))=0</formula>
    </cfRule>
    <cfRule type="containsText" dxfId="7" priority="2" operator="containsText" text="✘">
      <formula>NOT(ISERROR(SEARCH("✘",G9)))</formula>
    </cfRule>
    <cfRule type="containsText" dxfId="6" priority="3" operator="containsText" text="✔">
      <formula>NOT(ISERROR(SEARCH("✔",G9)))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27447"/>
  </sheetPr>
  <dimension ref="B4:N44"/>
  <sheetViews>
    <sheetView showGridLines="0" workbookViewId="0"/>
  </sheetViews>
  <sheetFormatPr defaultColWidth="9.140625" defaultRowHeight="15" x14ac:dyDescent="0.25"/>
  <cols>
    <col min="2" max="2" width="10.42578125" bestFit="1" customWidth="1"/>
    <col min="3" max="3" width="16.28515625" customWidth="1"/>
    <col min="4" max="4" width="24.7109375" bestFit="1" customWidth="1"/>
    <col min="5" max="6" width="17.28515625" customWidth="1"/>
    <col min="9" max="9" width="11" customWidth="1"/>
    <col min="10" max="10" width="11.140625" customWidth="1"/>
  </cols>
  <sheetData>
    <row r="4" spans="2:14" ht="45.75" customHeight="1" x14ac:dyDescent="0.25"/>
    <row r="6" spans="2:14" x14ac:dyDescent="0.25">
      <c r="I6" s="22" t="s">
        <v>416</v>
      </c>
      <c r="J6" s="22"/>
    </row>
    <row r="7" spans="2:14" x14ac:dyDescent="0.25">
      <c r="I7" s="6" t="s">
        <v>388</v>
      </c>
      <c r="J7" s="10">
        <v>0.18</v>
      </c>
      <c r="L7" s="6" t="s">
        <v>388</v>
      </c>
      <c r="M7" s="6" t="s">
        <v>389</v>
      </c>
      <c r="N7" s="6" t="s">
        <v>390</v>
      </c>
    </row>
    <row r="8" spans="2:14" x14ac:dyDescent="0.25">
      <c r="I8" s="6" t="s">
        <v>389</v>
      </c>
      <c r="J8" s="10">
        <v>23.96</v>
      </c>
      <c r="L8" s="10">
        <v>0.18</v>
      </c>
      <c r="M8" s="10">
        <v>23.96</v>
      </c>
      <c r="N8" s="6">
        <v>20.45</v>
      </c>
    </row>
    <row r="9" spans="2:14" ht="17.25" x14ac:dyDescent="0.3">
      <c r="B9" s="9" t="s">
        <v>414</v>
      </c>
      <c r="C9" s="9" t="s">
        <v>415</v>
      </c>
      <c r="D9" s="9" t="s">
        <v>350</v>
      </c>
      <c r="E9" s="9" t="s">
        <v>351</v>
      </c>
      <c r="F9" s="9" t="s">
        <v>352</v>
      </c>
      <c r="I9" s="6" t="s">
        <v>390</v>
      </c>
      <c r="J9" s="6">
        <v>20.45</v>
      </c>
    </row>
    <row r="10" spans="2:14" x14ac:dyDescent="0.25">
      <c r="B10" t="s">
        <v>353</v>
      </c>
      <c r="C10" s="4">
        <f ca="1">RANDBETWEEN(50000,150000)</f>
        <v>99867</v>
      </c>
      <c r="D10" s="21"/>
      <c r="E10" s="11"/>
      <c r="F10" s="12"/>
      <c r="G10" s="3" t="str">
        <f>IF(F10="","",IF(SUM(D10:F10)=C10/$J$7+C10/$J$8+C10/$J$9,"✔","✘"))</f>
        <v/>
      </c>
    </row>
    <row r="11" spans="2:14" x14ac:dyDescent="0.25">
      <c r="B11" t="s">
        <v>354</v>
      </c>
      <c r="C11" s="4">
        <f t="shared" ref="C11:C44" ca="1" si="0">RANDBETWEEN(50000,150000)</f>
        <v>82992</v>
      </c>
      <c r="D11" s="21"/>
      <c r="E11" s="11"/>
      <c r="F11" s="12"/>
      <c r="G11" s="3" t="str">
        <f t="shared" ref="G11:G44" si="1">IF(F11="","",IF(SUM(D11:F11)=C11/$J$7+C11/$J$8+C11/$J$9,"✔","✘"))</f>
        <v/>
      </c>
    </row>
    <row r="12" spans="2:14" x14ac:dyDescent="0.25">
      <c r="B12" t="s">
        <v>355</v>
      </c>
      <c r="C12" s="4">
        <f t="shared" ca="1" si="0"/>
        <v>139087</v>
      </c>
      <c r="D12" s="21"/>
      <c r="E12" s="11"/>
      <c r="F12" s="12"/>
      <c r="G12" s="3" t="str">
        <f t="shared" si="1"/>
        <v/>
      </c>
    </row>
    <row r="13" spans="2:14" x14ac:dyDescent="0.25">
      <c r="B13" t="s">
        <v>356</v>
      </c>
      <c r="C13" s="4">
        <f t="shared" ca="1" si="0"/>
        <v>135953</v>
      </c>
      <c r="D13" s="21"/>
      <c r="E13" s="11"/>
      <c r="F13" s="12"/>
      <c r="G13" s="3" t="str">
        <f t="shared" si="1"/>
        <v/>
      </c>
    </row>
    <row r="14" spans="2:14" x14ac:dyDescent="0.25">
      <c r="B14" t="s">
        <v>357</v>
      </c>
      <c r="C14" s="4">
        <f t="shared" ca="1" si="0"/>
        <v>125782</v>
      </c>
      <c r="D14" s="21"/>
      <c r="E14" s="11"/>
      <c r="F14" s="12"/>
      <c r="G14" s="3" t="str">
        <f t="shared" si="1"/>
        <v/>
      </c>
    </row>
    <row r="15" spans="2:14" x14ac:dyDescent="0.25">
      <c r="B15" t="s">
        <v>358</v>
      </c>
      <c r="C15" s="4">
        <f t="shared" ca="1" si="0"/>
        <v>130145</v>
      </c>
      <c r="D15" s="21"/>
      <c r="E15" s="11"/>
      <c r="F15" s="12"/>
      <c r="G15" s="3" t="str">
        <f t="shared" si="1"/>
        <v/>
      </c>
    </row>
    <row r="16" spans="2:14" x14ac:dyDescent="0.25">
      <c r="B16" t="s">
        <v>359</v>
      </c>
      <c r="C16" s="4">
        <f t="shared" ca="1" si="0"/>
        <v>60700</v>
      </c>
      <c r="D16" s="21"/>
      <c r="E16" s="11"/>
      <c r="F16" s="12"/>
      <c r="G16" s="3" t="str">
        <f t="shared" si="1"/>
        <v/>
      </c>
    </row>
    <row r="17" spans="2:7" x14ac:dyDescent="0.25">
      <c r="B17" t="s">
        <v>360</v>
      </c>
      <c r="C17" s="4">
        <f t="shared" ca="1" si="0"/>
        <v>85781</v>
      </c>
      <c r="D17" s="21"/>
      <c r="E17" s="11"/>
      <c r="F17" s="12"/>
      <c r="G17" s="3" t="str">
        <f t="shared" si="1"/>
        <v/>
      </c>
    </row>
    <row r="18" spans="2:7" x14ac:dyDescent="0.25">
      <c r="B18" t="s">
        <v>361</v>
      </c>
      <c r="C18" s="4">
        <f t="shared" ca="1" si="0"/>
        <v>80647</v>
      </c>
      <c r="D18" s="21"/>
      <c r="E18" s="11"/>
      <c r="F18" s="12"/>
      <c r="G18" s="3" t="str">
        <f t="shared" si="1"/>
        <v/>
      </c>
    </row>
    <row r="19" spans="2:7" x14ac:dyDescent="0.25">
      <c r="B19" t="s">
        <v>362</v>
      </c>
      <c r="C19" s="4">
        <f t="shared" ca="1" si="0"/>
        <v>133364</v>
      </c>
      <c r="D19" s="21"/>
      <c r="E19" s="11"/>
      <c r="F19" s="12"/>
      <c r="G19" s="3" t="str">
        <f t="shared" si="1"/>
        <v/>
      </c>
    </row>
    <row r="20" spans="2:7" x14ac:dyDescent="0.25">
      <c r="B20" t="s">
        <v>363</v>
      </c>
      <c r="C20" s="4">
        <f t="shared" ca="1" si="0"/>
        <v>86572</v>
      </c>
      <c r="D20" s="21"/>
      <c r="E20" s="11"/>
      <c r="F20" s="12"/>
      <c r="G20" s="3" t="str">
        <f t="shared" si="1"/>
        <v/>
      </c>
    </row>
    <row r="21" spans="2:7" x14ac:dyDescent="0.25">
      <c r="B21" t="s">
        <v>364</v>
      </c>
      <c r="C21" s="4">
        <f t="shared" ca="1" si="0"/>
        <v>139461</v>
      </c>
      <c r="D21" s="21"/>
      <c r="E21" s="11"/>
      <c r="F21" s="12"/>
      <c r="G21" s="3" t="str">
        <f t="shared" si="1"/>
        <v/>
      </c>
    </row>
    <row r="22" spans="2:7" x14ac:dyDescent="0.25">
      <c r="B22" t="s">
        <v>365</v>
      </c>
      <c r="C22" s="4">
        <f t="shared" ca="1" si="0"/>
        <v>140659</v>
      </c>
      <c r="D22" s="21"/>
      <c r="E22" s="11"/>
      <c r="F22" s="12"/>
      <c r="G22" s="3" t="str">
        <f t="shared" si="1"/>
        <v/>
      </c>
    </row>
    <row r="23" spans="2:7" x14ac:dyDescent="0.25">
      <c r="B23" t="s">
        <v>366</v>
      </c>
      <c r="C23" s="4">
        <f t="shared" ca="1" si="0"/>
        <v>59896</v>
      </c>
      <c r="D23" s="21"/>
      <c r="E23" s="11"/>
      <c r="F23" s="12"/>
      <c r="G23" s="3" t="str">
        <f t="shared" si="1"/>
        <v/>
      </c>
    </row>
    <row r="24" spans="2:7" x14ac:dyDescent="0.25">
      <c r="B24" t="s">
        <v>367</v>
      </c>
      <c r="C24" s="4">
        <f t="shared" ca="1" si="0"/>
        <v>114505</v>
      </c>
      <c r="D24" s="21"/>
      <c r="E24" s="11"/>
      <c r="F24" s="12"/>
      <c r="G24" s="3" t="str">
        <f t="shared" si="1"/>
        <v/>
      </c>
    </row>
    <row r="25" spans="2:7" x14ac:dyDescent="0.25">
      <c r="B25" t="s">
        <v>368</v>
      </c>
      <c r="C25" s="4">
        <f t="shared" ca="1" si="0"/>
        <v>56569</v>
      </c>
      <c r="D25" s="21"/>
      <c r="E25" s="11"/>
      <c r="F25" s="12"/>
      <c r="G25" s="3" t="str">
        <f t="shared" si="1"/>
        <v/>
      </c>
    </row>
    <row r="26" spans="2:7" x14ac:dyDescent="0.25">
      <c r="B26" t="s">
        <v>369</v>
      </c>
      <c r="C26" s="4">
        <f t="shared" ca="1" si="0"/>
        <v>147174</v>
      </c>
      <c r="D26" s="21"/>
      <c r="E26" s="11"/>
      <c r="F26" s="12"/>
      <c r="G26" s="3" t="str">
        <f t="shared" si="1"/>
        <v/>
      </c>
    </row>
    <row r="27" spans="2:7" x14ac:dyDescent="0.25">
      <c r="B27" t="s">
        <v>370</v>
      </c>
      <c r="C27" s="4">
        <f t="shared" ca="1" si="0"/>
        <v>111132</v>
      </c>
      <c r="D27" s="21"/>
      <c r="E27" s="11"/>
      <c r="F27" s="12"/>
      <c r="G27" s="3" t="str">
        <f t="shared" si="1"/>
        <v/>
      </c>
    </row>
    <row r="28" spans="2:7" x14ac:dyDescent="0.25">
      <c r="B28" t="s">
        <v>371</v>
      </c>
      <c r="C28" s="4">
        <f t="shared" ca="1" si="0"/>
        <v>114390</v>
      </c>
      <c r="D28" s="21"/>
      <c r="E28" s="11"/>
      <c r="F28" s="12"/>
      <c r="G28" s="3" t="str">
        <f t="shared" si="1"/>
        <v/>
      </c>
    </row>
    <row r="29" spans="2:7" x14ac:dyDescent="0.25">
      <c r="B29" t="s">
        <v>372</v>
      </c>
      <c r="C29" s="4">
        <f t="shared" ca="1" si="0"/>
        <v>70479</v>
      </c>
      <c r="D29" s="21"/>
      <c r="E29" s="11"/>
      <c r="F29" s="12"/>
      <c r="G29" s="3" t="str">
        <f t="shared" si="1"/>
        <v/>
      </c>
    </row>
    <row r="30" spans="2:7" x14ac:dyDescent="0.25">
      <c r="B30" t="s">
        <v>373</v>
      </c>
      <c r="C30" s="4">
        <f t="shared" ca="1" si="0"/>
        <v>64619</v>
      </c>
      <c r="D30" s="21"/>
      <c r="E30" s="11"/>
      <c r="F30" s="12"/>
      <c r="G30" s="3" t="str">
        <f t="shared" si="1"/>
        <v/>
      </c>
    </row>
    <row r="31" spans="2:7" x14ac:dyDescent="0.25">
      <c r="B31" t="s">
        <v>374</v>
      </c>
      <c r="C31" s="4">
        <f t="shared" ca="1" si="0"/>
        <v>52554</v>
      </c>
      <c r="D31" s="21"/>
      <c r="E31" s="11"/>
      <c r="F31" s="12"/>
      <c r="G31" s="3" t="str">
        <f t="shared" si="1"/>
        <v/>
      </c>
    </row>
    <row r="32" spans="2:7" x14ac:dyDescent="0.25">
      <c r="B32" t="s">
        <v>375</v>
      </c>
      <c r="C32" s="4">
        <f t="shared" ca="1" si="0"/>
        <v>124345</v>
      </c>
      <c r="D32" s="21"/>
      <c r="E32" s="11"/>
      <c r="F32" s="12"/>
      <c r="G32" s="3" t="str">
        <f t="shared" si="1"/>
        <v/>
      </c>
    </row>
    <row r="33" spans="2:7" x14ac:dyDescent="0.25">
      <c r="B33" t="s">
        <v>376</v>
      </c>
      <c r="C33" s="4">
        <f t="shared" ca="1" si="0"/>
        <v>77296</v>
      </c>
      <c r="D33" s="21"/>
      <c r="E33" s="11"/>
      <c r="F33" s="12"/>
      <c r="G33" s="3" t="str">
        <f t="shared" si="1"/>
        <v/>
      </c>
    </row>
    <row r="34" spans="2:7" x14ac:dyDescent="0.25">
      <c r="B34" t="s">
        <v>377</v>
      </c>
      <c r="C34" s="4">
        <f t="shared" ca="1" si="0"/>
        <v>138957</v>
      </c>
      <c r="D34" s="21"/>
      <c r="E34" s="11"/>
      <c r="F34" s="12"/>
      <c r="G34" s="3" t="str">
        <f t="shared" si="1"/>
        <v/>
      </c>
    </row>
    <row r="35" spans="2:7" x14ac:dyDescent="0.25">
      <c r="B35" t="s">
        <v>378</v>
      </c>
      <c r="C35" s="4">
        <f t="shared" ca="1" si="0"/>
        <v>127922</v>
      </c>
      <c r="D35" s="21"/>
      <c r="E35" s="11"/>
      <c r="F35" s="12"/>
      <c r="G35" s="3" t="str">
        <f t="shared" si="1"/>
        <v/>
      </c>
    </row>
    <row r="36" spans="2:7" x14ac:dyDescent="0.25">
      <c r="B36" t="s">
        <v>379</v>
      </c>
      <c r="C36" s="4">
        <f t="shared" ca="1" si="0"/>
        <v>110381</v>
      </c>
      <c r="D36" s="21"/>
      <c r="E36" s="11"/>
      <c r="F36" s="12"/>
      <c r="G36" s="3" t="str">
        <f t="shared" si="1"/>
        <v/>
      </c>
    </row>
    <row r="37" spans="2:7" x14ac:dyDescent="0.25">
      <c r="B37" t="s">
        <v>380</v>
      </c>
      <c r="C37" s="4">
        <f t="shared" ca="1" si="0"/>
        <v>76662</v>
      </c>
      <c r="D37" s="21"/>
      <c r="E37" s="11"/>
      <c r="F37" s="12"/>
      <c r="G37" s="3" t="str">
        <f t="shared" si="1"/>
        <v/>
      </c>
    </row>
    <row r="38" spans="2:7" x14ac:dyDescent="0.25">
      <c r="B38" t="s">
        <v>381</v>
      </c>
      <c r="C38" s="4">
        <f t="shared" ca="1" si="0"/>
        <v>89073</v>
      </c>
      <c r="D38" s="21"/>
      <c r="E38" s="11"/>
      <c r="F38" s="12"/>
      <c r="G38" s="3" t="str">
        <f t="shared" si="1"/>
        <v/>
      </c>
    </row>
    <row r="39" spans="2:7" x14ac:dyDescent="0.25">
      <c r="B39" t="s">
        <v>382</v>
      </c>
      <c r="C39" s="4">
        <f t="shared" ca="1" si="0"/>
        <v>111114</v>
      </c>
      <c r="D39" s="21"/>
      <c r="E39" s="11"/>
      <c r="F39" s="12"/>
      <c r="G39" s="3" t="str">
        <f t="shared" si="1"/>
        <v/>
      </c>
    </row>
    <row r="40" spans="2:7" x14ac:dyDescent="0.25">
      <c r="B40" t="s">
        <v>383</v>
      </c>
      <c r="C40" s="4">
        <f t="shared" ca="1" si="0"/>
        <v>146328</v>
      </c>
      <c r="D40" s="21"/>
      <c r="E40" s="11"/>
      <c r="F40" s="12"/>
      <c r="G40" s="3" t="str">
        <f t="shared" si="1"/>
        <v/>
      </c>
    </row>
    <row r="41" spans="2:7" x14ac:dyDescent="0.25">
      <c r="B41" t="s">
        <v>384</v>
      </c>
      <c r="C41" s="4">
        <f t="shared" ca="1" si="0"/>
        <v>57230</v>
      </c>
      <c r="D41" s="21"/>
      <c r="E41" s="11"/>
      <c r="F41" s="12"/>
      <c r="G41" s="3" t="str">
        <f t="shared" si="1"/>
        <v/>
      </c>
    </row>
    <row r="42" spans="2:7" x14ac:dyDescent="0.25">
      <c r="B42" t="s">
        <v>385</v>
      </c>
      <c r="C42" s="4">
        <f t="shared" ca="1" si="0"/>
        <v>75904</v>
      </c>
      <c r="D42" s="21"/>
      <c r="E42" s="11"/>
      <c r="F42" s="12"/>
      <c r="G42" s="3" t="str">
        <f t="shared" si="1"/>
        <v/>
      </c>
    </row>
    <row r="43" spans="2:7" x14ac:dyDescent="0.25">
      <c r="B43" t="s">
        <v>386</v>
      </c>
      <c r="C43" s="4">
        <f t="shared" ca="1" si="0"/>
        <v>127793</v>
      </c>
      <c r="D43" s="21"/>
      <c r="E43" s="11"/>
      <c r="F43" s="12"/>
      <c r="G43" s="3" t="str">
        <f t="shared" si="1"/>
        <v/>
      </c>
    </row>
    <row r="44" spans="2:7" x14ac:dyDescent="0.25">
      <c r="B44" t="s">
        <v>387</v>
      </c>
      <c r="C44" s="4">
        <f t="shared" ca="1" si="0"/>
        <v>142362</v>
      </c>
      <c r="D44" s="21"/>
      <c r="E44" s="11"/>
      <c r="F44" s="12"/>
      <c r="G44" s="3" t="str">
        <f t="shared" si="1"/>
        <v/>
      </c>
    </row>
  </sheetData>
  <mergeCells count="1">
    <mergeCell ref="I6:J6"/>
  </mergeCells>
  <conditionalFormatting sqref="G10:G44">
    <cfRule type="containsBlanks" dxfId="5" priority="1">
      <formula>LEN(TRIM(G10))=0</formula>
    </cfRule>
    <cfRule type="containsText" dxfId="4" priority="2" operator="containsText" text="✘">
      <formula>NOT(ISERROR(SEARCH("✘",G10)))</formula>
    </cfRule>
    <cfRule type="containsText" dxfId="3" priority="3" operator="containsText" text="✔">
      <formula>NOT(ISERROR(SEARCH("✔",G10)))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27447"/>
  </sheetPr>
  <dimension ref="B10:I16"/>
  <sheetViews>
    <sheetView showGridLines="0" workbookViewId="0"/>
  </sheetViews>
  <sheetFormatPr defaultColWidth="9.140625" defaultRowHeight="15" x14ac:dyDescent="0.25"/>
  <sheetData>
    <row r="10" spans="2:9" ht="18.75" x14ac:dyDescent="0.3">
      <c r="C10" s="23" t="s">
        <v>418</v>
      </c>
      <c r="D10" s="23"/>
      <c r="E10" s="23"/>
      <c r="F10" s="23"/>
      <c r="G10" s="23"/>
    </row>
    <row r="11" spans="2:9" ht="17.25" x14ac:dyDescent="0.3">
      <c r="B11" s="24" t="s">
        <v>417</v>
      </c>
      <c r="C11" s="13"/>
      <c r="D11" s="9">
        <f ca="1">RANDBETWEEN(1,70)</f>
        <v>41</v>
      </c>
      <c r="E11" s="9">
        <f t="shared" ref="E11:G11" ca="1" si="0">RANDBETWEEN(1,70)</f>
        <v>66</v>
      </c>
      <c r="F11" s="9">
        <f t="shared" ca="1" si="0"/>
        <v>57</v>
      </c>
      <c r="G11" s="9">
        <f t="shared" ca="1" si="0"/>
        <v>40</v>
      </c>
    </row>
    <row r="12" spans="2:9" ht="23.25" x14ac:dyDescent="0.35">
      <c r="B12" s="24"/>
      <c r="C12" s="9">
        <f t="shared" ref="C12:C16" ca="1" si="1">RANDBETWEEN(1,70)</f>
        <v>20</v>
      </c>
      <c r="D12" s="20"/>
      <c r="E12" s="20"/>
      <c r="F12" s="20"/>
      <c r="G12" s="20"/>
      <c r="H12" s="3" t="str">
        <f>IF(G12="","",IF(SUM(D12:G12)=I12,"✔","✘"))</f>
        <v/>
      </c>
      <c r="I12" s="19">
        <f ca="1">SUM(C12*$D$11,C12*$E$11,C12*$F$11,C12*$G$11)</f>
        <v>4080</v>
      </c>
    </row>
    <row r="13" spans="2:9" ht="23.25" x14ac:dyDescent="0.35">
      <c r="B13" s="24"/>
      <c r="C13" s="9">
        <f t="shared" ca="1" si="1"/>
        <v>22</v>
      </c>
      <c r="D13" s="20"/>
      <c r="E13" s="20"/>
      <c r="F13" s="20"/>
      <c r="G13" s="20"/>
      <c r="H13" s="3" t="str">
        <f t="shared" ref="H13:H16" si="2">IF(G13="","",IF(SUM(D13:G13)=I13,"✔","✘"))</f>
        <v/>
      </c>
      <c r="I13" s="19">
        <f t="shared" ref="I13:I16" ca="1" si="3">SUM(C13*$D$11,C13*$E$11,C13*$F$11,C13*$G$11)</f>
        <v>4488</v>
      </c>
    </row>
    <row r="14" spans="2:9" ht="23.25" x14ac:dyDescent="0.35">
      <c r="B14" s="24"/>
      <c r="C14" s="9">
        <f t="shared" ca="1" si="1"/>
        <v>35</v>
      </c>
      <c r="D14" s="20"/>
      <c r="E14" s="20"/>
      <c r="F14" s="20"/>
      <c r="G14" s="20"/>
      <c r="H14" s="3" t="str">
        <f t="shared" si="2"/>
        <v/>
      </c>
      <c r="I14" s="19">
        <f t="shared" ca="1" si="3"/>
        <v>7140</v>
      </c>
    </row>
    <row r="15" spans="2:9" ht="23.25" x14ac:dyDescent="0.35">
      <c r="B15" s="24"/>
      <c r="C15" s="9">
        <f t="shared" ca="1" si="1"/>
        <v>10</v>
      </c>
      <c r="D15" s="20"/>
      <c r="E15" s="20"/>
      <c r="F15" s="20"/>
      <c r="G15" s="20"/>
      <c r="H15" s="3" t="str">
        <f t="shared" si="2"/>
        <v/>
      </c>
      <c r="I15" s="19">
        <f t="shared" ca="1" si="3"/>
        <v>2040</v>
      </c>
    </row>
    <row r="16" spans="2:9" ht="23.25" x14ac:dyDescent="0.35">
      <c r="B16" s="24"/>
      <c r="C16" s="9">
        <f t="shared" ca="1" si="1"/>
        <v>46</v>
      </c>
      <c r="D16" s="20"/>
      <c r="E16" s="20"/>
      <c r="F16" s="20"/>
      <c r="G16" s="20"/>
      <c r="H16" s="3" t="str">
        <f t="shared" si="2"/>
        <v/>
      </c>
      <c r="I16" s="19">
        <f t="shared" ca="1" si="3"/>
        <v>9384</v>
      </c>
    </row>
  </sheetData>
  <mergeCells count="2">
    <mergeCell ref="C10:G10"/>
    <mergeCell ref="B11:B16"/>
  </mergeCells>
  <conditionalFormatting sqref="H12:H16">
    <cfRule type="containsBlanks" dxfId="2" priority="1">
      <formula>LEN(TRIM(H12))=0</formula>
    </cfRule>
    <cfRule type="containsText" dxfId="1" priority="2" operator="containsText" text="✘">
      <formula>NOT(ISERROR(SEARCH("✘",H12)))</formula>
    </cfRule>
    <cfRule type="containsText" dxfId="0" priority="3" operator="containsText" text="✔">
      <formula>NOT(ISERROR(SEARCH("✔",H12)))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27447"/>
  </sheetPr>
  <dimension ref="B9:B10"/>
  <sheetViews>
    <sheetView showGridLines="0" workbookViewId="0"/>
  </sheetViews>
  <sheetFormatPr defaultColWidth="9.140625" defaultRowHeight="15" x14ac:dyDescent="0.25"/>
  <sheetData>
    <row r="9" spans="2:2" ht="33" x14ac:dyDescent="0.45">
      <c r="B9" s="14" t="s">
        <v>419</v>
      </c>
    </row>
    <row r="10" spans="2:2" ht="25.5" x14ac:dyDescent="0.5">
      <c r="B10" s="15" t="s">
        <v>420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Portada</vt:lpstr>
      <vt:lpstr>Inicio</vt:lpstr>
      <vt:lpstr>Días de Vacaciones</vt:lpstr>
      <vt:lpstr>Comisiones de Ventas</vt:lpstr>
      <vt:lpstr>Precios de Paquetes</vt:lpstr>
      <vt:lpstr>Tipos de Cambio</vt:lpstr>
      <vt:lpstr>Areas</vt:lpstr>
      <vt:lpstr>Tarjetas de Truco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</dc:creator>
  <cp:lastModifiedBy>Dan Contreras Gonzalez</cp:lastModifiedBy>
  <dcterms:created xsi:type="dcterms:W3CDTF">2017-11-11T01:03:21Z</dcterms:created>
  <dcterms:modified xsi:type="dcterms:W3CDTF">2024-11-20T20:42:45Z</dcterms:modified>
</cp:coreProperties>
</file>