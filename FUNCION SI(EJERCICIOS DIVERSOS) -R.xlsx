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esktop\EXCEL AVANZADO\"/>
    </mc:Choice>
  </mc:AlternateContent>
  <xr:revisionPtr revIDLastSave="0" documentId="13_ncr:1_{D9940F02-7F58-4B1B-BD8A-C6D7BD876533}" xr6:coauthVersionLast="47" xr6:coauthVersionMax="47" xr10:uidLastSave="{00000000-0000-0000-0000-000000000000}"/>
  <bookViews>
    <workbookView xWindow="-108" yWindow="-108" windowWidth="23256" windowHeight="13896" tabRatio="820" activeTab="8" xr2:uid="{00000000-000D-0000-FFFF-FFFF00000000}"/>
  </bookViews>
  <sheets>
    <sheet name="EJEMPLO 01" sheetId="10" r:id="rId1"/>
    <sheet name="EJEMPLO 02" sheetId="2" r:id="rId2"/>
    <sheet name="EJEMPLO 03" sheetId="11" r:id="rId3"/>
    <sheet name="EJEMPLO 04" sheetId="16" r:id="rId4"/>
    <sheet name="EJEMPLO 05" sheetId="14" r:id="rId5"/>
    <sheet name="EJEMPLO 06" sheetId="15" r:id="rId6"/>
    <sheet name="EJEMPLO 07" sheetId="5" r:id="rId7"/>
    <sheet name="EJEMPLO 08" sheetId="6" r:id="rId8"/>
    <sheet name="EJEMPLO 09" sheetId="9" r:id="rId9"/>
    <sheet name="EJEMPLO 10" sheetId="17" r:id="rId10"/>
  </sheets>
  <definedNames>
    <definedName name="CUADRO">#REF!</definedName>
    <definedName name="futbol">#REF!</definedName>
    <definedName name="Generacion">#REF!</definedName>
    <definedName name="MUNDIAL">#REF!</definedName>
    <definedName name="WALTER">#REF!</definedName>
    <definedName name="WALTER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6" l="1" a="1"/>
  <c r="D13" i="16"/>
  <c r="D14" i="16" a="1"/>
  <c r="D14" i="16"/>
  <c r="D15" i="16" a="1"/>
  <c r="D15" i="16"/>
  <c r="D16" i="16" a="1"/>
  <c r="D16" i="16"/>
  <c r="D17" i="16" a="1"/>
  <c r="D17" i="16"/>
  <c r="D18" i="16" a="1"/>
  <c r="D18" i="16" s="1"/>
  <c r="D19" i="16" a="1"/>
  <c r="D19" i="16"/>
  <c r="D12" i="16" a="1"/>
  <c r="D12" i="16" s="1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10" i="17"/>
  <c r="D14" i="9"/>
  <c r="D15" i="9"/>
  <c r="D16" i="9"/>
  <c r="D17" i="9"/>
  <c r="D18" i="9"/>
  <c r="D19" i="9"/>
  <c r="D20" i="9"/>
  <c r="D21" i="9"/>
  <c r="D13" i="9"/>
  <c r="F14" i="6" a="1"/>
  <c r="F14" i="6"/>
  <c r="F15" i="6" a="1"/>
  <c r="F15" i="6"/>
  <c r="F16" i="6" a="1"/>
  <c r="F16" i="6"/>
  <c r="F17" i="6" a="1"/>
  <c r="F17" i="6"/>
  <c r="F18" i="6" a="1"/>
  <c r="F18" i="6"/>
  <c r="F19" i="6" a="1"/>
  <c r="F19" i="6"/>
  <c r="F20" i="6" a="1"/>
  <c r="F20" i="6"/>
  <c r="F21" i="6" a="1"/>
  <c r="F21" i="6"/>
  <c r="F22" i="6" a="1"/>
  <c r="F22" i="6"/>
  <c r="F23" i="6" a="1"/>
  <c r="F23" i="6"/>
  <c r="F24" i="6" a="1"/>
  <c r="F24" i="6"/>
  <c r="F13" i="6" a="1"/>
  <c r="F13" i="6" s="1"/>
  <c r="E13" i="5" a="1"/>
  <c r="E13" i="5"/>
  <c r="E14" i="5" a="1"/>
  <c r="E14" i="5"/>
  <c r="E15" i="5" a="1"/>
  <c r="E15" i="5"/>
  <c r="E16" i="5" a="1"/>
  <c r="E16" i="5"/>
  <c r="E17" i="5" a="1"/>
  <c r="E17" i="5"/>
  <c r="E18" i="5" a="1"/>
  <c r="E18" i="5"/>
  <c r="E12" i="5" a="1"/>
  <c r="E12" i="5" s="1"/>
  <c r="G10" i="15"/>
  <c r="G11" i="15"/>
  <c r="G12" i="15"/>
  <c r="G13" i="15"/>
  <c r="G14" i="15"/>
  <c r="G15" i="15"/>
  <c r="G16" i="15"/>
  <c r="G17" i="15"/>
  <c r="G9" i="15"/>
  <c r="D10" i="15"/>
  <c r="D11" i="15"/>
  <c r="D12" i="15"/>
  <c r="D13" i="15"/>
  <c r="D14" i="15"/>
  <c r="D15" i="15"/>
  <c r="D16" i="15"/>
  <c r="D17" i="15"/>
  <c r="D9" i="15"/>
  <c r="G12" i="14"/>
  <c r="G13" i="14"/>
  <c r="G14" i="14"/>
  <c r="G15" i="14"/>
  <c r="G16" i="14"/>
  <c r="G17" i="14"/>
  <c r="G18" i="14"/>
  <c r="G11" i="14"/>
  <c r="G10" i="14"/>
  <c r="D11" i="14"/>
  <c r="D12" i="14"/>
  <c r="D13" i="14"/>
  <c r="D14" i="14"/>
  <c r="D15" i="14"/>
  <c r="D16" i="14"/>
  <c r="D17" i="14"/>
  <c r="D18" i="14"/>
  <c r="D10" i="14"/>
  <c r="G10" i="11" l="1"/>
  <c r="G11" i="11"/>
  <c r="G12" i="11"/>
  <c r="G13" i="11"/>
  <c r="G14" i="11"/>
  <c r="G9" i="11"/>
  <c r="E9" i="2"/>
  <c r="E10" i="2"/>
  <c r="E11" i="2"/>
  <c r="E12" i="2"/>
  <c r="E13" i="2"/>
  <c r="E8" i="2"/>
  <c r="D12" i="10"/>
  <c r="D13" i="10"/>
  <c r="D14" i="10"/>
  <c r="D15" i="10"/>
  <c r="D16" i="10"/>
  <c r="D17" i="10"/>
  <c r="D18" i="10"/>
  <c r="D19" i="10"/>
  <c r="D11" i="10"/>
  <c r="F10" i="11"/>
  <c r="F11" i="11"/>
  <c r="F12" i="11"/>
  <c r="F13" i="11"/>
  <c r="F14" i="11"/>
  <c r="F9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<sst xmlns="http://schemas.openxmlformats.org/spreadsheetml/2006/main" count="266" uniqueCount="126">
  <si>
    <t>NOMBRES</t>
  </si>
  <si>
    <t>SEXO</t>
  </si>
  <si>
    <t>M</t>
  </si>
  <si>
    <t>F</t>
  </si>
  <si>
    <t>C</t>
  </si>
  <si>
    <t>S</t>
  </si>
  <si>
    <t>D</t>
  </si>
  <si>
    <t>V</t>
  </si>
  <si>
    <t>CATEGORIA</t>
  </si>
  <si>
    <t>A</t>
  </si>
  <si>
    <t>B</t>
  </si>
  <si>
    <t>BASICO</t>
  </si>
  <si>
    <t>Mostrará</t>
  </si>
  <si>
    <t>ABOGADO</t>
  </si>
  <si>
    <t>INGENIERO</t>
  </si>
  <si>
    <t>DOCTOR</t>
  </si>
  <si>
    <t>ROSI HINOJOSA</t>
  </si>
  <si>
    <t>JARUMI VILLAR</t>
  </si>
  <si>
    <t>LUIS PERALTA</t>
  </si>
  <si>
    <t>MANUEL APAZA</t>
  </si>
  <si>
    <t>YELI SEDANO</t>
  </si>
  <si>
    <t>ENFERMERA</t>
  </si>
  <si>
    <t>VICTOR LOPEZ</t>
  </si>
  <si>
    <t>ADMINISTRADORA</t>
  </si>
  <si>
    <t>MECANICO</t>
  </si>
  <si>
    <t>PROFESIÓN</t>
  </si>
  <si>
    <t>OBSERVACIONES</t>
  </si>
  <si>
    <t>DETERMINAR LAS OBSEVACIONES MEDIANTE EL "ESTADO CIVIL" DE LA PERSONA</t>
  </si>
  <si>
    <t>E. CIVIL</t>
  </si>
  <si>
    <t>Martín Alberto Vizcarra Cornejo</t>
  </si>
  <si>
    <t>Pedro Pablo Kuczynski Godard</t>
  </si>
  <si>
    <t>Ollanta Moisés Humala Tasso</t>
  </si>
  <si>
    <t>Alan García Pérez</t>
  </si>
  <si>
    <t>Alejandro Toledo Manrique</t>
  </si>
  <si>
    <t>Valentín Paniagua Corazao</t>
  </si>
  <si>
    <t>Alberto Fujimori Fujimori</t>
  </si>
  <si>
    <r>
      <t xml:space="preserve">* Si su </t>
    </r>
    <r>
      <rPr>
        <b/>
        <sz val="16"/>
        <rFont val="Arial"/>
        <family val="2"/>
      </rPr>
      <t>E.CIVIL es "S"</t>
    </r>
    <r>
      <rPr>
        <sz val="16"/>
        <rFont val="Arial"/>
        <family val="2"/>
      </rPr>
      <t xml:space="preserve">; mostrar </t>
    </r>
    <r>
      <rPr>
        <b/>
        <sz val="16"/>
        <rFont val="Arial"/>
        <family val="2"/>
      </rPr>
      <t>"SOLTERO"</t>
    </r>
  </si>
  <si>
    <r>
      <t xml:space="preserve">* Si su </t>
    </r>
    <r>
      <rPr>
        <b/>
        <sz val="16"/>
        <rFont val="Arial"/>
        <family val="2"/>
      </rPr>
      <t>E.CIVIL es "C"</t>
    </r>
    <r>
      <rPr>
        <sz val="16"/>
        <rFont val="Arial"/>
        <family val="2"/>
      </rPr>
      <t xml:space="preserve">; mostrar </t>
    </r>
    <r>
      <rPr>
        <b/>
        <sz val="16"/>
        <rFont val="Arial"/>
        <family val="2"/>
      </rPr>
      <t>"CASADO"</t>
    </r>
  </si>
  <si>
    <r>
      <t xml:space="preserve">* Si su </t>
    </r>
    <r>
      <rPr>
        <b/>
        <sz val="16"/>
        <rFont val="Arial"/>
        <family val="2"/>
      </rPr>
      <t>E.CIVIL es "V"</t>
    </r>
    <r>
      <rPr>
        <sz val="16"/>
        <rFont val="Arial"/>
        <family val="2"/>
      </rPr>
      <t xml:space="preserve">; mostrar </t>
    </r>
    <r>
      <rPr>
        <b/>
        <sz val="16"/>
        <rFont val="Arial"/>
        <family val="2"/>
      </rPr>
      <t>"VIUDO"</t>
    </r>
  </si>
  <si>
    <r>
      <t xml:space="preserve">* Si su </t>
    </r>
    <r>
      <rPr>
        <b/>
        <sz val="16"/>
        <rFont val="Arial"/>
        <family val="2"/>
      </rPr>
      <t>E.CIVIL es "D"</t>
    </r>
    <r>
      <rPr>
        <sz val="16"/>
        <rFont val="Arial"/>
        <family val="2"/>
      </rPr>
      <t xml:space="preserve">; mostrar </t>
    </r>
    <r>
      <rPr>
        <b/>
        <sz val="16"/>
        <rFont val="Arial"/>
        <family val="2"/>
      </rPr>
      <t>"DIVORCIADO"</t>
    </r>
  </si>
  <si>
    <t>BÁSICO</t>
  </si>
  <si>
    <t>ELIDA QUINTO</t>
  </si>
  <si>
    <t>PEDRO HUAMAN</t>
  </si>
  <si>
    <t>EVER CURI</t>
  </si>
  <si>
    <t>MOISES CHURA</t>
  </si>
  <si>
    <t>BASILIO SANCA</t>
  </si>
  <si>
    <t>FRAN AVILEZ</t>
  </si>
  <si>
    <t>SECRETARIA</t>
  </si>
  <si>
    <t>DETERMINAR EL "BÁSICO" MEDIANTE LA "CATEGORIA" DE LA PERSONA</t>
  </si>
  <si>
    <t>BONIFICACIÓN</t>
  </si>
  <si>
    <t>ROSI HINOJOSA SEDANO</t>
  </si>
  <si>
    <t>JARUMI VILLAR QUISPE</t>
  </si>
  <si>
    <t>LUIS PERALTA CUBA</t>
  </si>
  <si>
    <t>MANUEL APAZA PERALTA</t>
  </si>
  <si>
    <t>VICTOR LOPEZ GUTIERREZ</t>
  </si>
  <si>
    <t>YELI SEDANO HINOJOSA</t>
  </si>
  <si>
    <t>ELIDA QUINTO LEÓN</t>
  </si>
  <si>
    <t>PEDRO HUAMAN MANTARI</t>
  </si>
  <si>
    <t>EVER CURI ALMONACID</t>
  </si>
  <si>
    <t>FECHA INGRESO</t>
  </si>
  <si>
    <t>Si INGRESO</t>
  </si>
  <si>
    <t>antes 1980</t>
  </si>
  <si>
    <t>Entre 1980 y 1990</t>
  </si>
  <si>
    <t>Después 1990 y antes del 2001</t>
  </si>
  <si>
    <t>Después del 2000</t>
  </si>
  <si>
    <t>DETERMINAR LAS "BONIFICACIONES" MEDIANTE LA "FECHA DE INGRESO" DE LA PERSONA</t>
  </si>
  <si>
    <t>Si Promedio es:</t>
  </si>
  <si>
    <t>ENTONCES MOSTRAR:</t>
  </si>
  <si>
    <t>FECHA DE NACIMIENTO</t>
  </si>
  <si>
    <t>SUELDO</t>
  </si>
  <si>
    <t>ALUMNOS</t>
  </si>
  <si>
    <t>CALIFICACION FINAL</t>
  </si>
  <si>
    <t>PROCENTAJE DE BECA</t>
  </si>
  <si>
    <t>ANYAIPOMA MALDONADO, YANED</t>
  </si>
  <si>
    <t>ARROYO ROJAS, LILY ROSALYN</t>
  </si>
  <si>
    <t>BALVIN SEDANO, LORENA MAYUMI</t>
  </si>
  <si>
    <t>BERNAOLA ALVARADO, MARYLIZ</t>
  </si>
  <si>
    <t>CABEZAS ROMERO, MAGALY KARINA</t>
  </si>
  <si>
    <t>CASTRO SANCHEZ, MARGARET MARIA</t>
  </si>
  <si>
    <t>CHAMORRO ROJAS, YEMIN SAUDITA</t>
  </si>
  <si>
    <t>DIAZ BENITEZ, FREDDY RICKY</t>
  </si>
  <si>
    <t>NOTA 1</t>
  </si>
  <si>
    <t>NOTA 2</t>
  </si>
  <si>
    <t>NOTA 3</t>
  </si>
  <si>
    <t>PROMEDIO</t>
  </si>
  <si>
    <t>ALUMNO</t>
  </si>
  <si>
    <t>EDAD</t>
  </si>
  <si>
    <t>CONDICION</t>
  </si>
  <si>
    <t>OTRO VALOR</t>
  </si>
  <si>
    <t>MAYOR O IGUAL A 10.5</t>
  </si>
  <si>
    <t>APROBADO</t>
  </si>
  <si>
    <t>REPROBADO</t>
  </si>
  <si>
    <t>ESTADO DEL CURSO</t>
  </si>
  <si>
    <t>EMPLEADOS</t>
  </si>
  <si>
    <t>TITULO</t>
  </si>
  <si>
    <t>EXPERIENCIA</t>
  </si>
  <si>
    <t>UNIVERSITARIO</t>
  </si>
  <si>
    <t>TECNICO</t>
  </si>
  <si>
    <t>JHAN PERES</t>
  </si>
  <si>
    <t>LUIS CUBA</t>
  </si>
  <si>
    <t>ANDREA TELLO</t>
  </si>
  <si>
    <t>YELI HINOJOSA</t>
  </si>
  <si>
    <t>ROSI SEDANO</t>
  </si>
  <si>
    <t>CUPERTINO CAISAHUANA</t>
  </si>
  <si>
    <t>ORLANDINES ARROYO</t>
  </si>
  <si>
    <t>EDWIN HUAMAN</t>
  </si>
  <si>
    <t>DANIELA ESPINOZA</t>
  </si>
  <si>
    <t>JOEL PEREZ</t>
  </si>
  <si>
    <t>BETTY QUINTO</t>
  </si>
  <si>
    <t>ELIDA CORDOVA</t>
  </si>
  <si>
    <t>LUIS RAMOS</t>
  </si>
  <si>
    <t>MOISES CONDORI</t>
  </si>
  <si>
    <t>ELVIS TAIPE</t>
  </si>
  <si>
    <t>SUSANA LOPEZ</t>
  </si>
  <si>
    <t>DEIVID GONZALES</t>
  </si>
  <si>
    <t>TANIA GUILLEN</t>
  </si>
  <si>
    <t>JAVIER MEDRANO</t>
  </si>
  <si>
    <t>CRISTHIAN RAMIREZ</t>
  </si>
  <si>
    <t>RUTH HUAMAN</t>
  </si>
  <si>
    <t>PAGO 1</t>
  </si>
  <si>
    <t>PAGO 2</t>
  </si>
  <si>
    <t>Uilizar función Mes para extraer el mes de la fecha</t>
  </si>
  <si>
    <t>Función Si Anidada</t>
  </si>
  <si>
    <t>Utilizar función Año para extraer el año de la fecha.</t>
  </si>
  <si>
    <t>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</si>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</sst>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S/&quot;* #,##0_-;\-&quot;S/&quot;* #,##0_-;_-&quot;S/&quot;* &quot;-&quot;_-;_-@_-"/>
    <numFmt numFmtId="165" formatCode="_-&quot;S/&quot;* #,##0.00_-;\-&quot;S/&quot;* #,##0.00_-;_-&quot;S/&quot;* &quot;-&quot;??_-;_-@_-"/>
    <numFmt numFmtId="166" formatCode="&quot;$&quot;#,##0.00;[Red]\-&quot;$&quot;#,##0.00"/>
    <numFmt numFmtId="167" formatCode="&quot;$&quot;#,##0_);[Red]\(&quot;$&quot;#,##0\)"/>
    <numFmt numFmtId="168" formatCode="_ * #,##0.00_ ;_ * \-#,##0.00_ ;_ * &quot;-&quot;??_ ;_ @_ "/>
    <numFmt numFmtId="169" formatCode="dd/mmm/yyyy"/>
    <numFmt numFmtId="170" formatCode="_-&quot;S/.&quot;* #,##0.00_-;\-&quot;S/.&quot;* #,##0.00_-;_-&quot;S/.&quot;* &quot;-&quot;??_-;_-@_-"/>
    <numFmt numFmtId="171" formatCode="_(* #,##0.0_);_(* \(#,##0.0\);_(* &quot;-&quot;_);_(@_)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4"/>
      <color indexed="12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name val="Calibri"/>
      <family val="2"/>
      <scheme val="minor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2"/>
      <color indexed="12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14"/>
      <color indexed="8"/>
      <name val="Arial Narrow"/>
      <family val="2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00FF00"/>
        <bgColor theme="1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3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68" fontId="9" fillId="0" borderId="0" xfId="4" applyFont="1" applyAlignment="1">
      <alignment horizontal="right" vertical="center"/>
    </xf>
    <xf numFmtId="0" fontId="13" fillId="0" borderId="0" xfId="0" applyFont="1"/>
    <xf numFmtId="168" fontId="8" fillId="0" borderId="0" xfId="4" applyFont="1"/>
    <xf numFmtId="169" fontId="0" fillId="0" borderId="0" xfId="0" applyNumberFormat="1"/>
    <xf numFmtId="169" fontId="8" fillId="0" borderId="1" xfId="0" applyNumberFormat="1" applyFont="1" applyBorder="1" applyAlignment="1">
      <alignment horizontal="center"/>
    </xf>
    <xf numFmtId="168" fontId="8" fillId="0" borderId="1" xfId="4" applyFont="1" applyBorder="1"/>
    <xf numFmtId="0" fontId="7" fillId="0" borderId="0" xfId="0" applyFont="1"/>
    <xf numFmtId="0" fontId="8" fillId="0" borderId="0" xfId="0" applyFont="1"/>
    <xf numFmtId="169" fontId="8" fillId="0" borderId="0" xfId="0" applyNumberFormat="1" applyFont="1" applyAlignment="1">
      <alignment horizontal="center"/>
    </xf>
    <xf numFmtId="0" fontId="15" fillId="0" borderId="0" xfId="0" quotePrefix="1" applyFont="1"/>
    <xf numFmtId="0" fontId="14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7" fillId="3" borderId="1" xfId="0" applyFont="1" applyFill="1" applyBorder="1"/>
    <xf numFmtId="0" fontId="7" fillId="0" borderId="1" xfId="0" applyFont="1" applyBorder="1" applyAlignment="1">
      <alignment horizontal="center"/>
    </xf>
    <xf numFmtId="0" fontId="18" fillId="0" borderId="1" xfId="0" applyFont="1" applyBorder="1" applyAlignment="1">
      <alignment vertical="top" wrapText="1"/>
    </xf>
    <xf numFmtId="164" fontId="8" fillId="0" borderId="1" xfId="4" applyNumberFormat="1" applyFont="1" applyBorder="1"/>
    <xf numFmtId="0" fontId="16" fillId="0" borderId="0" xfId="0" applyFont="1" applyAlignment="1">
      <alignment horizontal="center" vertical="center" wrapText="1"/>
    </xf>
    <xf numFmtId="165" fontId="8" fillId="0" borderId="1" xfId="4" applyNumberFormat="1" applyFont="1" applyBorder="1"/>
    <xf numFmtId="0" fontId="19" fillId="0" borderId="1" xfId="0" applyFont="1" applyBorder="1" applyAlignment="1">
      <alignment horizontal="justify" vertical="center"/>
    </xf>
    <xf numFmtId="0" fontId="20" fillId="0" borderId="1" xfId="0" applyFont="1" applyBorder="1"/>
    <xf numFmtId="0" fontId="20" fillId="3" borderId="1" xfId="0" applyFont="1" applyFill="1" applyBorder="1"/>
    <xf numFmtId="0" fontId="21" fillId="2" borderId="1" xfId="0" applyFont="1" applyFill="1" applyBorder="1" applyAlignment="1">
      <alignment horizontal="center" vertical="center"/>
    </xf>
    <xf numFmtId="0" fontId="11" fillId="3" borderId="1" xfId="0" applyFont="1" applyFill="1" applyBorder="1"/>
    <xf numFmtId="0" fontId="9" fillId="3" borderId="1" xfId="0" applyFont="1" applyFill="1" applyBorder="1"/>
    <xf numFmtId="0" fontId="1" fillId="0" borderId="0" xfId="5"/>
    <xf numFmtId="0" fontId="1" fillId="0" borderId="1" xfId="5" applyBorder="1" applyAlignment="1">
      <alignment horizontal="center"/>
    </xf>
    <xf numFmtId="0" fontId="22" fillId="5" borderId="1" xfId="5" applyFont="1" applyFill="1" applyBorder="1" applyAlignment="1">
      <alignment horizontal="center"/>
    </xf>
    <xf numFmtId="0" fontId="1" fillId="0" borderId="1" xfId="5" applyBorder="1" applyAlignment="1">
      <alignment horizontal="left" vertical="center"/>
    </xf>
    <xf numFmtId="0" fontId="23" fillId="6" borderId="1" xfId="5" applyFont="1" applyFill="1" applyBorder="1" applyAlignment="1">
      <alignment horizontal="center" vertical="center"/>
    </xf>
    <xf numFmtId="0" fontId="24" fillId="6" borderId="1" xfId="5" applyFont="1" applyFill="1" applyBorder="1" applyAlignment="1">
      <alignment horizontal="center"/>
    </xf>
    <xf numFmtId="170" fontId="25" fillId="7" borderId="1" xfId="6" applyFont="1" applyFill="1" applyBorder="1"/>
    <xf numFmtId="171" fontId="7" fillId="4" borderId="1" xfId="0" applyNumberFormat="1" applyFont="1" applyFill="1" applyBorder="1" applyAlignment="1">
      <alignment horizontal="center"/>
    </xf>
    <xf numFmtId="0" fontId="10" fillId="0" borderId="0" xfId="0" applyFont="1"/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right"/>
    </xf>
    <xf numFmtId="2" fontId="8" fillId="0" borderId="1" xfId="0" applyNumberFormat="1" applyFont="1" applyBorder="1"/>
    <xf numFmtId="9" fontId="26" fillId="3" borderId="1" xfId="0" applyNumberFormat="1" applyFont="1" applyFill="1" applyBorder="1"/>
    <xf numFmtId="165" fontId="8" fillId="3" borderId="1" xfId="0" applyNumberFormat="1" applyFont="1" applyFill="1" applyBorder="1"/>
    <xf numFmtId="0" fontId="2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14" fontId="8" fillId="0" borderId="1" xfId="0" applyNumberFormat="1" applyFont="1" applyBorder="1" applyAlignment="1">
      <alignment horizontal="center"/>
    </xf>
  </cellXfs>
  <cellStyles count="7">
    <cellStyle name="Comma [0]" xfId="1" xr:uid="{00000000-0005-0000-0000-000000000000}"/>
    <cellStyle name="Currency [0]" xfId="2" xr:uid="{00000000-0005-0000-0000-000001000000}"/>
    <cellStyle name="Currency_Macro1" xfId="3" xr:uid="{00000000-0005-0000-0000-000002000000}"/>
    <cellStyle name="Millares" xfId="4" builtinId="3"/>
    <cellStyle name="Moneda 2" xfId="6" xr:uid="{00000000-0005-0000-0000-000004000000}"/>
    <cellStyle name="Normal" xfId="0" builtinId="0"/>
    <cellStyle name="Normal 2" xfId="5" xr:uid="{00000000-0005-0000-0000-000006000000}"/>
  </cellStyles>
  <dxfs count="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1</xdr:row>
      <xdr:rowOff>22860</xdr:rowOff>
    </xdr:from>
    <xdr:to>
      <xdr:col>4</xdr:col>
      <xdr:colOff>1013460</xdr:colOff>
      <xdr:row>6</xdr:row>
      <xdr:rowOff>76200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71D8B71-35C6-4EB7-BCD4-3481AE7B389F}"/>
            </a:ext>
          </a:extLst>
        </xdr:cNvPr>
        <xdr:cNvSpPr/>
      </xdr:nvSpPr>
      <xdr:spPr bwMode="auto">
        <a:xfrm>
          <a:off x="464820" y="190500"/>
          <a:ext cx="5951220" cy="891540"/>
        </a:xfrm>
        <a:prstGeom prst="roundRect">
          <a:avLst/>
        </a:prstGeom>
        <a:ln w="19050">
          <a:solidFill>
            <a:srgbClr val="00B0F0"/>
          </a:solidFill>
          <a:headEnd type="none" w="med" len="med"/>
          <a:tailEnd type="none" w="med" len="med"/>
        </a:ln>
        <a:effectLst>
          <a:glow rad="101600">
            <a:srgbClr val="00B0F0">
              <a:alpha val="60000"/>
            </a:srgb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rtl="0"/>
          <a:r>
            <a:rPr lang="es-ES" sz="1600" b="1" i="0">
              <a:effectLst/>
              <a:latin typeface="+mn-lt"/>
              <a:ea typeface="+mn-ea"/>
              <a:cs typeface="+mn-cs"/>
            </a:rPr>
            <a:t>INSTRUCCIONES:</a:t>
          </a:r>
          <a:endParaRPr lang="es-PE" sz="1600">
            <a:effectLst/>
          </a:endParaRPr>
        </a:p>
        <a:p>
          <a:pPr rtl="0"/>
          <a:r>
            <a:rPr lang="es-PE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son mayores O igual de 18 años,</a:t>
          </a:r>
          <a:r>
            <a:rPr lang="es-PE" sz="1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entonces </a:t>
          </a:r>
          <a:r>
            <a:rPr lang="es-PE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"MAYOR DE EDAD", caso contario "MENOR DE EDAD"</a:t>
          </a:r>
          <a:r>
            <a:rPr lang="es-PE" sz="1600"/>
            <a:t> </a:t>
          </a:r>
        </a:p>
      </xdr:txBody>
    </xdr:sp>
    <xdr:clientData/>
  </xdr:twoCellAnchor>
  <xdr:twoCellAnchor>
    <xdr:from>
      <xdr:col>4</xdr:col>
      <xdr:colOff>400050</xdr:colOff>
      <xdr:row>7</xdr:row>
      <xdr:rowOff>17145</xdr:rowOff>
    </xdr:from>
    <xdr:to>
      <xdr:col>13</xdr:col>
      <xdr:colOff>87630</xdr:colOff>
      <xdr:row>10</xdr:row>
      <xdr:rowOff>40005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828F9E2-39E6-456F-8424-6A29323649E3}"/>
            </a:ext>
          </a:extLst>
        </xdr:cNvPr>
        <xdr:cNvSpPr/>
      </xdr:nvSpPr>
      <xdr:spPr>
        <a:xfrm>
          <a:off x="5753100" y="1150620"/>
          <a:ext cx="7126605" cy="689610"/>
        </a:xfrm>
        <a:prstGeom prst="roundRect">
          <a:avLst>
            <a:gd name="adj" fmla="val 50000"/>
          </a:avLst>
        </a:prstGeom>
        <a:solidFill>
          <a:schemeClr val="bg1">
            <a:lumMod val="75000"/>
          </a:schemeClr>
        </a:solidFill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400" b="1">
              <a:solidFill>
                <a:schemeClr val="tx1"/>
              </a:solidFill>
            </a:rPr>
            <a:t>=SI(</a:t>
          </a:r>
          <a:r>
            <a:rPr lang="es-PE" sz="2400" b="1">
              <a:solidFill>
                <a:srgbClr val="00B0F0"/>
              </a:solidFill>
            </a:rPr>
            <a:t>prueba_lógica</a:t>
          </a:r>
          <a:r>
            <a:rPr lang="es-PE" sz="2400" b="1">
              <a:solidFill>
                <a:schemeClr val="tx1"/>
              </a:solidFill>
            </a:rPr>
            <a:t>;</a:t>
          </a:r>
          <a:r>
            <a:rPr lang="es-PE" sz="2400" b="1">
              <a:solidFill>
                <a:schemeClr val="bg1"/>
              </a:solidFill>
            </a:rPr>
            <a:t>valor_si_verdadero</a:t>
          </a:r>
          <a:r>
            <a:rPr lang="es-PE" sz="2400" b="1">
              <a:solidFill>
                <a:schemeClr val="tx1"/>
              </a:solidFill>
            </a:rPr>
            <a:t>;</a:t>
          </a:r>
          <a:r>
            <a:rPr lang="es-PE" sz="2400" b="1">
              <a:solidFill>
                <a:srgbClr val="FF0000"/>
              </a:solidFill>
            </a:rPr>
            <a:t>valor_si_falso</a:t>
          </a:r>
          <a:r>
            <a:rPr lang="es-PE" sz="2400" b="1">
              <a:solidFill>
                <a:schemeClr val="tx1"/>
              </a:solidFill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</xdr:row>
      <xdr:rowOff>53340</xdr:rowOff>
    </xdr:from>
    <xdr:to>
      <xdr:col>4</xdr:col>
      <xdr:colOff>121920</xdr:colOff>
      <xdr:row>4</xdr:row>
      <xdr:rowOff>243840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CB7CEE-BE54-4388-9BCB-C3B0DA62BE95}"/>
            </a:ext>
          </a:extLst>
        </xdr:cNvPr>
        <xdr:cNvSpPr/>
      </xdr:nvSpPr>
      <xdr:spPr bwMode="auto">
        <a:xfrm>
          <a:off x="784860" y="220980"/>
          <a:ext cx="5760720" cy="891540"/>
        </a:xfrm>
        <a:prstGeom prst="roundRect">
          <a:avLst/>
        </a:prstGeom>
        <a:ln w="19050">
          <a:solidFill>
            <a:srgbClr val="00B0F0"/>
          </a:solidFill>
          <a:headEnd type="none" w="med" len="med"/>
          <a:tailEnd type="none" w="med" len="med"/>
        </a:ln>
        <a:effectLst>
          <a:glow rad="101600">
            <a:srgbClr val="00B0F0">
              <a:alpha val="60000"/>
            </a:srgb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lang="es-PE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Si el 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SEXO es "M"</a:t>
          </a:r>
          <a:r>
            <a:rPr lang="es-PE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mostrar 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"MASCULINO"</a:t>
          </a:r>
        </a:p>
        <a:p>
          <a:pPr algn="l"/>
          <a:r>
            <a:rPr lang="es-PE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Si el 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SEXO es "F"</a:t>
          </a:r>
          <a:r>
            <a:rPr lang="es-PE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mostrar 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"FEMENINO"</a:t>
          </a:r>
          <a:r>
            <a:rPr lang="es-PE" sz="1600"/>
            <a:t> </a:t>
          </a:r>
        </a:p>
      </xdr:txBody>
    </xdr:sp>
    <xdr:clientData/>
  </xdr:twoCellAnchor>
  <xdr:twoCellAnchor>
    <xdr:from>
      <xdr:col>1</xdr:col>
      <xdr:colOff>99060</xdr:colOff>
      <xdr:row>17</xdr:row>
      <xdr:rowOff>53340</xdr:rowOff>
    </xdr:from>
    <xdr:to>
      <xdr:col>6</xdr:col>
      <xdr:colOff>266700</xdr:colOff>
      <xdr:row>21</xdr:row>
      <xdr:rowOff>83820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0411BED-FD41-4381-9BC4-06FCF8F49852}"/>
            </a:ext>
          </a:extLst>
        </xdr:cNvPr>
        <xdr:cNvSpPr/>
      </xdr:nvSpPr>
      <xdr:spPr>
        <a:xfrm>
          <a:off x="830580" y="3672840"/>
          <a:ext cx="7399020" cy="701040"/>
        </a:xfrm>
        <a:prstGeom prst="roundRect">
          <a:avLst>
            <a:gd name="adj" fmla="val 50000"/>
          </a:avLst>
        </a:prstGeom>
        <a:solidFill>
          <a:schemeClr val="bg1">
            <a:lumMod val="75000"/>
          </a:schemeClr>
        </a:solidFill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400" b="1">
              <a:solidFill>
                <a:schemeClr val="tx1"/>
              </a:solidFill>
            </a:rPr>
            <a:t>=SI(</a:t>
          </a:r>
          <a:r>
            <a:rPr lang="es-PE" sz="2400" b="1">
              <a:solidFill>
                <a:srgbClr val="00B0F0"/>
              </a:solidFill>
            </a:rPr>
            <a:t>prueba_lógica</a:t>
          </a:r>
          <a:r>
            <a:rPr lang="es-PE" sz="2400" b="1">
              <a:solidFill>
                <a:schemeClr val="tx1"/>
              </a:solidFill>
            </a:rPr>
            <a:t>;</a:t>
          </a:r>
          <a:r>
            <a:rPr lang="es-PE" sz="2400" b="1">
              <a:solidFill>
                <a:schemeClr val="bg1"/>
              </a:solidFill>
            </a:rPr>
            <a:t>valor_si_verdadero</a:t>
          </a:r>
          <a:r>
            <a:rPr lang="es-PE" sz="2400" b="1">
              <a:solidFill>
                <a:schemeClr val="tx1"/>
              </a:solidFill>
            </a:rPr>
            <a:t>;</a:t>
          </a:r>
          <a:r>
            <a:rPr lang="es-PE" sz="2400" b="1">
              <a:solidFill>
                <a:srgbClr val="FF0000"/>
              </a:solidFill>
            </a:rPr>
            <a:t>valor_si_falso</a:t>
          </a:r>
          <a:r>
            <a:rPr lang="es-PE" sz="2400" b="1">
              <a:solidFill>
                <a:schemeClr val="tx1"/>
              </a:solidFill>
            </a:rPr>
            <a:t>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3</xdr:row>
      <xdr:rowOff>28575</xdr:rowOff>
    </xdr:from>
    <xdr:to>
      <xdr:col>3</xdr:col>
      <xdr:colOff>1722120</xdr:colOff>
      <xdr:row>9</xdr:row>
      <xdr:rowOff>167640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8BF9D958-EBA6-4431-8033-287052764688}"/>
            </a:ext>
          </a:extLst>
        </xdr:cNvPr>
        <xdr:cNvSpPr/>
      </xdr:nvSpPr>
      <xdr:spPr bwMode="auto">
        <a:xfrm>
          <a:off x="449580" y="514350"/>
          <a:ext cx="6644640" cy="1110615"/>
        </a:xfrm>
        <a:prstGeom prst="roundRect">
          <a:avLst/>
        </a:prstGeom>
        <a:ln w="19050">
          <a:solidFill>
            <a:srgbClr val="00B0F0"/>
          </a:solidFill>
          <a:headEnd type="none" w="med" len="med"/>
          <a:tailEnd type="none" w="med" len="med"/>
        </a:ln>
        <a:effectLst>
          <a:glow rad="101600">
            <a:srgbClr val="00B0F0">
              <a:alpha val="60000"/>
            </a:srgb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s-PE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SI LA CALIFICACION FINAL</a:t>
          </a:r>
          <a:r>
            <a:rPr lang="es-PE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 ENTRE 15-20, OBTIENE UN 80% DE BECA</a:t>
          </a:r>
          <a:endParaRPr lang="es-PE" sz="1600">
            <a:effectLst/>
          </a:endParaRPr>
        </a:p>
        <a:p>
          <a:pPr eaLnBrk="1" fontAlgn="auto" latinLnBrk="0" hangingPunct="1"/>
          <a:r>
            <a:rPr lang="es-PE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</a:t>
          </a:r>
          <a:r>
            <a:rPr lang="es-PE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LA CALIFICACION FINAL</a:t>
          </a:r>
          <a:r>
            <a:rPr lang="es-PE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 ENTRE 12 -14, OBTIENE UN 60% DE BECA</a:t>
          </a:r>
          <a:endParaRPr lang="es-PE" sz="1600">
            <a:effectLst/>
          </a:endParaRPr>
        </a:p>
        <a:p>
          <a:pPr eaLnBrk="1" fontAlgn="auto" latinLnBrk="0" hangingPunct="1"/>
          <a:r>
            <a:rPr lang="es-PE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</a:t>
          </a:r>
          <a:r>
            <a:rPr lang="es-PE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LA CALIFICACION FINAL</a:t>
          </a:r>
          <a:r>
            <a:rPr lang="es-PE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MENOR QUE 12, NO SE OTORGA BECA.</a:t>
          </a:r>
          <a:endParaRPr lang="es-PE" sz="1600">
            <a:effectLst/>
          </a:endParaRPr>
        </a:p>
        <a:p>
          <a:pPr algn="l"/>
          <a:endParaRPr lang="es-PE" sz="1600"/>
        </a:p>
      </xdr:txBody>
    </xdr:sp>
    <xdr:clientData/>
  </xdr:twoCellAnchor>
  <xdr:twoCellAnchor>
    <xdr:from>
      <xdr:col>11</xdr:col>
      <xdr:colOff>7620</xdr:colOff>
      <xdr:row>11</xdr:row>
      <xdr:rowOff>205740</xdr:rowOff>
    </xdr:from>
    <xdr:to>
      <xdr:col>11</xdr:col>
      <xdr:colOff>7620</xdr:colOff>
      <xdr:row>14</xdr:row>
      <xdr:rowOff>7620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183ADE02-268A-4664-89D9-D209482D4B42}"/>
            </a:ext>
          </a:extLst>
        </xdr:cNvPr>
        <xdr:cNvCxnSpPr/>
      </xdr:nvCxnSpPr>
      <xdr:spPr bwMode="auto">
        <a:xfrm>
          <a:off x="13235940" y="2225040"/>
          <a:ext cx="0" cy="63246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71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556260</xdr:colOff>
      <xdr:row>10</xdr:row>
      <xdr:rowOff>68580</xdr:rowOff>
    </xdr:from>
    <xdr:to>
      <xdr:col>11</xdr:col>
      <xdr:colOff>220980</xdr:colOff>
      <xdr:row>11</xdr:row>
      <xdr:rowOff>160020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6B178AC-ED9F-420D-BFA7-2A32644A9F84}"/>
            </a:ext>
          </a:extLst>
        </xdr:cNvPr>
        <xdr:cNvSpPr/>
      </xdr:nvSpPr>
      <xdr:spPr bwMode="auto">
        <a:xfrm>
          <a:off x="12992100" y="1744980"/>
          <a:ext cx="457200" cy="434340"/>
        </a:xfrm>
        <a:prstGeom prst="roundRect">
          <a:avLst/>
        </a:prstGeom>
        <a:solidFill>
          <a:srgbClr val="00B0F0"/>
        </a:solidFill>
        <a:ln>
          <a:headEnd type="none" w="med" len="med"/>
          <a:tailEnd type="none" w="med" len="med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s-PE" sz="2000"/>
            <a:t>20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0</xdr:row>
      <xdr:rowOff>160020</xdr:rowOff>
    </xdr:from>
    <xdr:to>
      <xdr:col>5</xdr:col>
      <xdr:colOff>83820</xdr:colOff>
      <xdr:row>6</xdr:row>
      <xdr:rowOff>160020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C2D486E-8C7E-4873-B6AB-741A5FD05068}"/>
            </a:ext>
          </a:extLst>
        </xdr:cNvPr>
        <xdr:cNvSpPr/>
      </xdr:nvSpPr>
      <xdr:spPr bwMode="auto">
        <a:xfrm>
          <a:off x="449580" y="160020"/>
          <a:ext cx="5882640" cy="1066800"/>
        </a:xfrm>
        <a:prstGeom prst="roundRect">
          <a:avLst/>
        </a:prstGeom>
        <a:ln w="19050">
          <a:solidFill>
            <a:srgbClr val="00B0F0"/>
          </a:solidFill>
          <a:headEnd type="none" w="med" len="med"/>
          <a:tailEnd type="none" w="med" len="med"/>
        </a:ln>
        <a:effectLst>
          <a:glow rad="101600">
            <a:srgbClr val="00B0F0">
              <a:alpha val="60000"/>
            </a:srgb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el empleado </a:t>
          </a:r>
          <a:r>
            <a:rPr lang="es-PE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nació</a:t>
          </a:r>
          <a:r>
            <a:rPr lang="es-PE" sz="1600" b="1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en Diciembre </a:t>
          </a:r>
          <a:r>
            <a:rPr lang="es-PE" sz="3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</a:t>
          </a:r>
          <a:r>
            <a:rPr lang="es-PE" sz="1600" b="1" i="0" u="none" strike="noStrike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de la categoria A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s-PE" sz="16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 Bonificacion será del 20% del sueldo caso contrario 10% del sueldo</a:t>
          </a:r>
          <a:r>
            <a:rPr lang="es-PE" sz="1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</xdr:colOff>
      <xdr:row>0</xdr:row>
      <xdr:rowOff>142875</xdr:rowOff>
    </xdr:from>
    <xdr:to>
      <xdr:col>5</xdr:col>
      <xdr:colOff>1091565</xdr:colOff>
      <xdr:row>5</xdr:row>
      <xdr:rowOff>125730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1042657-8DF7-4B49-9E0A-40050FBEB7B7}"/>
            </a:ext>
          </a:extLst>
        </xdr:cNvPr>
        <xdr:cNvSpPr/>
      </xdr:nvSpPr>
      <xdr:spPr bwMode="auto">
        <a:xfrm>
          <a:off x="120015" y="142875"/>
          <a:ext cx="6915150" cy="1087755"/>
        </a:xfrm>
        <a:prstGeom prst="roundRect">
          <a:avLst/>
        </a:prstGeom>
        <a:ln w="19050">
          <a:solidFill>
            <a:srgbClr val="00B0F0"/>
          </a:solidFill>
          <a:headEnd type="none" w="med" len="med"/>
          <a:tailEnd type="none" w="med" len="med"/>
        </a:ln>
        <a:effectLst>
          <a:glow rad="101600">
            <a:srgbClr val="00B0F0">
              <a:alpha val="60000"/>
            </a:srgb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el empleado nació</a:t>
          </a:r>
          <a:r>
            <a:rPr lang="es-PE" sz="16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6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después del año  2000 </a:t>
          </a:r>
          <a:r>
            <a:rPr lang="es-PE" sz="3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su categoria es A</a:t>
          </a:r>
          <a:r>
            <a:rPr lang="es-PE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su bonificación será del 15% de su sueldo, caso contrario será del 5%</a:t>
          </a:r>
          <a:r>
            <a:rPr lang="es-PE" sz="1600" b="1"/>
            <a:t> </a:t>
          </a:r>
          <a:r>
            <a:rPr lang="es-PE" sz="1600" b="1" baseline="0"/>
            <a:t> de su sueldo</a:t>
          </a:r>
          <a:endParaRPr lang="es-PE" sz="16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101600</xdr:rowOff>
    </xdr:from>
    <xdr:to>
      <xdr:col>7</xdr:col>
      <xdr:colOff>774700</xdr:colOff>
      <xdr:row>6</xdr:row>
      <xdr:rowOff>101600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D773F71-D89F-45A7-AF30-1B12CE7DB531}"/>
            </a:ext>
          </a:extLst>
        </xdr:cNvPr>
        <xdr:cNvSpPr/>
      </xdr:nvSpPr>
      <xdr:spPr bwMode="auto">
        <a:xfrm>
          <a:off x="190500" y="101600"/>
          <a:ext cx="8096250" cy="1104900"/>
        </a:xfrm>
        <a:prstGeom prst="roundRect">
          <a:avLst/>
        </a:prstGeom>
        <a:ln>
          <a:solidFill>
            <a:srgbClr val="00B0F0"/>
          </a:solidFill>
          <a:headEnd type="none" w="med" len="med"/>
          <a:tailEnd type="none" w="med" len="med"/>
        </a:ln>
        <a:effectLst>
          <a:glow rad="101600">
            <a:srgbClr val="00B0F0">
              <a:alpha val="60000"/>
            </a:srgb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lang="es-PE" sz="1100"/>
            <a:t>* LOS</a:t>
          </a:r>
          <a:r>
            <a:rPr lang="es-PE" sz="1100" baseline="0"/>
            <a:t> </a:t>
          </a:r>
          <a:r>
            <a:rPr lang="es-PE" sz="1100"/>
            <a:t>POSTULANTES CON </a:t>
          </a:r>
          <a:r>
            <a:rPr lang="es-PE" sz="1100" b="1">
              <a:solidFill>
                <a:schemeClr val="accent2"/>
              </a:solidFill>
            </a:rPr>
            <a:t>TÍTULO UNIVERSITARIO </a:t>
          </a:r>
          <a:r>
            <a:rPr lang="es-PE" sz="1400" b="1">
              <a:solidFill>
                <a:srgbClr val="FF0000"/>
              </a:solidFill>
            </a:rPr>
            <a:t>Y</a:t>
          </a:r>
          <a:r>
            <a:rPr lang="es-PE" sz="1100"/>
            <a:t> ADEMÁS QUE CUENTE CON </a:t>
          </a:r>
          <a:r>
            <a:rPr lang="es-PE" sz="1100" b="1">
              <a:solidFill>
                <a:srgbClr val="00B050"/>
              </a:solidFill>
            </a:rPr>
            <a:t>MÁS DE 2 AÑOS DE EXPERIENCIA</a:t>
          </a:r>
          <a:r>
            <a:rPr lang="es-PE" sz="1100"/>
            <a:t>. SU PAGO SERÁ PAGO 1</a:t>
          </a:r>
        </a:p>
        <a:p>
          <a:pPr algn="l"/>
          <a:r>
            <a:rPr lang="es-PE" sz="1100"/>
            <a:t>* LOS POSTULANTES CON </a:t>
          </a:r>
          <a:r>
            <a:rPr lang="es-PE" sz="1100" b="1">
              <a:solidFill>
                <a:srgbClr val="00B0F0"/>
              </a:solidFill>
            </a:rPr>
            <a:t>TÍTULO TÉCNICO</a:t>
          </a:r>
          <a:r>
            <a:rPr lang="es-PE" sz="1600" b="1">
              <a:solidFill>
                <a:srgbClr val="FF0000"/>
              </a:solidFill>
            </a:rPr>
            <a:t> </a:t>
          </a:r>
          <a:r>
            <a:rPr lang="es-PE" sz="1600">
              <a:solidFill>
                <a:srgbClr val="FF0000"/>
              </a:solidFill>
            </a:rPr>
            <a:t>Y </a:t>
          </a:r>
          <a:r>
            <a:rPr lang="es-PE" sz="1100"/>
            <a:t>ADEMÁS QUE CUENTE CON MÁS </a:t>
          </a:r>
          <a:r>
            <a:rPr lang="es-PE" sz="1100" b="1">
              <a:solidFill>
                <a:srgbClr val="FFC000"/>
              </a:solidFill>
            </a:rPr>
            <a:t>DE 1 AÑOS DE EXPERIENCIA.</a:t>
          </a:r>
          <a:r>
            <a:rPr lang="es-PE" sz="1100"/>
            <a:t> SU PAGO SERÁ PAGO 2</a:t>
          </a:r>
        </a:p>
        <a:p>
          <a:pPr algn="l"/>
          <a:r>
            <a:rPr lang="es-PE" sz="1100"/>
            <a:t>* EL RESTO GANARA 1000 SOLES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0:D19"/>
  <sheetViews>
    <sheetView showGridLines="0" workbookViewId="0">
      <selection activeCell="D19" sqref="D19"/>
    </sheetView>
  </sheetViews>
  <sheetFormatPr baseColWidth="10" defaultRowHeight="13.2" x14ac:dyDescent="0.25"/>
  <cols>
    <col min="2" max="2" width="35.6640625" bestFit="1" customWidth="1"/>
    <col min="3" max="3" width="12.5546875" customWidth="1"/>
    <col min="4" max="4" width="20.5546875" customWidth="1"/>
    <col min="5" max="5" width="16" customWidth="1"/>
    <col min="6" max="6" width="15.5546875" customWidth="1"/>
  </cols>
  <sheetData>
    <row r="10" spans="2:4" ht="27.6" customHeight="1" x14ac:dyDescent="0.25">
      <c r="B10" s="41" t="s">
        <v>0</v>
      </c>
      <c r="C10" s="41" t="s">
        <v>86</v>
      </c>
      <c r="D10" s="41" t="s">
        <v>87</v>
      </c>
    </row>
    <row r="11" spans="2:4" ht="25.95" customHeight="1" x14ac:dyDescent="0.35">
      <c r="B11" s="10" t="s">
        <v>50</v>
      </c>
      <c r="C11" s="39">
        <v>19</v>
      </c>
      <c r="D11" s="40" t="str">
        <f>+IF(C11&gt;=$C$15,"MAYOR DE EDAD","MENOR DE EDAD")</f>
        <v>MAYOR DE EDAD</v>
      </c>
    </row>
    <row r="12" spans="2:4" ht="21" customHeight="1" x14ac:dyDescent="0.35">
      <c r="B12" s="10" t="s">
        <v>51</v>
      </c>
      <c r="C12" s="39">
        <v>24</v>
      </c>
      <c r="D12" s="40" t="str">
        <f t="shared" ref="D12:D19" si="0">+IF(C12&gt;=$C$15,"MAYOR DE EDAD","MENOR DE EDAD")</f>
        <v>MAYOR DE EDAD</v>
      </c>
    </row>
    <row r="13" spans="2:4" ht="18" x14ac:dyDescent="0.35">
      <c r="B13" s="10" t="s">
        <v>52</v>
      </c>
      <c r="C13" s="39">
        <v>12</v>
      </c>
      <c r="D13" s="40" t="str">
        <f t="shared" si="0"/>
        <v>MENOR DE EDAD</v>
      </c>
    </row>
    <row r="14" spans="2:4" ht="18" x14ac:dyDescent="0.35">
      <c r="B14" s="10" t="s">
        <v>53</v>
      </c>
      <c r="C14" s="39">
        <v>11</v>
      </c>
      <c r="D14" s="40" t="str">
        <f t="shared" si="0"/>
        <v>MENOR DE EDAD</v>
      </c>
    </row>
    <row r="15" spans="2:4" ht="18" x14ac:dyDescent="0.35">
      <c r="B15" s="10" t="s">
        <v>54</v>
      </c>
      <c r="C15" s="39">
        <v>18</v>
      </c>
      <c r="D15" s="40" t="str">
        <f t="shared" si="0"/>
        <v>MAYOR DE EDAD</v>
      </c>
    </row>
    <row r="16" spans="2:4" ht="18" x14ac:dyDescent="0.35">
      <c r="B16" s="10" t="s">
        <v>55</v>
      </c>
      <c r="C16" s="39">
        <v>16</v>
      </c>
      <c r="D16" s="40" t="str">
        <f t="shared" si="0"/>
        <v>MENOR DE EDAD</v>
      </c>
    </row>
    <row r="17" spans="2:4" ht="18" x14ac:dyDescent="0.35">
      <c r="B17" s="10" t="s">
        <v>56</v>
      </c>
      <c r="C17" s="39">
        <v>17</v>
      </c>
      <c r="D17" s="40" t="str">
        <f t="shared" si="0"/>
        <v>MENOR DE EDAD</v>
      </c>
    </row>
    <row r="18" spans="2:4" ht="18" x14ac:dyDescent="0.35">
      <c r="B18" s="10" t="s">
        <v>57</v>
      </c>
      <c r="C18" s="39">
        <v>19</v>
      </c>
      <c r="D18" s="40" t="str">
        <f t="shared" si="0"/>
        <v>MAYOR DE EDAD</v>
      </c>
    </row>
    <row r="19" spans="2:4" ht="18" x14ac:dyDescent="0.35">
      <c r="B19" s="10" t="s">
        <v>58</v>
      </c>
      <c r="C19" s="39">
        <v>10</v>
      </c>
      <c r="D19" s="40" t="str">
        <f t="shared" si="0"/>
        <v>MENOR DE EDAD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3:E13"/>
  <sheetViews>
    <sheetView showGridLines="0" workbookViewId="0">
      <selection activeCell="E13" sqref="E13"/>
    </sheetView>
  </sheetViews>
  <sheetFormatPr baseColWidth="10" defaultRowHeight="13.2" x14ac:dyDescent="0.25"/>
  <cols>
    <col min="1" max="1" width="10.6640625" customWidth="1"/>
    <col min="2" max="2" width="33.6640625" customWidth="1"/>
    <col min="3" max="3" width="25.88671875" customWidth="1"/>
    <col min="4" max="4" width="10.109375" customWidth="1"/>
    <col min="5" max="5" width="24.109375" customWidth="1"/>
  </cols>
  <sheetData>
    <row r="3" spans="1:5" ht="21" customHeight="1" x14ac:dyDescent="0.25">
      <c r="B3" s="61"/>
      <c r="C3" s="61"/>
    </row>
    <row r="4" spans="1:5" ht="21" customHeight="1" x14ac:dyDescent="0.25">
      <c r="B4" s="61"/>
      <c r="C4" s="61"/>
    </row>
    <row r="5" spans="1:5" ht="21" customHeight="1" x14ac:dyDescent="0.35">
      <c r="A5" s="4"/>
      <c r="B5" s="7"/>
    </row>
    <row r="6" spans="1:5" ht="21" customHeight="1" x14ac:dyDescent="0.3">
      <c r="A6" s="4"/>
    </row>
    <row r="7" spans="1:5" ht="17.399999999999999" x14ac:dyDescent="0.3">
      <c r="A7" s="2"/>
      <c r="B7" s="8" t="s">
        <v>0</v>
      </c>
      <c r="C7" s="8" t="s">
        <v>25</v>
      </c>
      <c r="D7" s="9" t="s">
        <v>1</v>
      </c>
      <c r="E7" s="8" t="s">
        <v>26</v>
      </c>
    </row>
    <row r="8" spans="1:5" ht="17.399999999999999" x14ac:dyDescent="0.3">
      <c r="B8" s="10" t="s">
        <v>16</v>
      </c>
      <c r="C8" s="10" t="s">
        <v>21</v>
      </c>
      <c r="D8" s="12" t="s">
        <v>3</v>
      </c>
      <c r="E8" s="32" t="str">
        <f>+IF(D8=$D$8,"FEMENINO","MASCULINO")</f>
        <v>FEMENINO</v>
      </c>
    </row>
    <row r="9" spans="1:5" ht="17.399999999999999" x14ac:dyDescent="0.3">
      <c r="B9" s="10" t="s">
        <v>17</v>
      </c>
      <c r="C9" s="10" t="s">
        <v>21</v>
      </c>
      <c r="D9" s="12" t="s">
        <v>3</v>
      </c>
      <c r="E9" s="32" t="str">
        <f t="shared" ref="E9:E13" si="0">+IF(D9=$D$8,"FEMENINO","MASCULINO")</f>
        <v>FEMENINO</v>
      </c>
    </row>
    <row r="10" spans="1:5" ht="17.399999999999999" x14ac:dyDescent="0.3">
      <c r="B10" s="10" t="s">
        <v>18</v>
      </c>
      <c r="C10" s="10" t="s">
        <v>13</v>
      </c>
      <c r="D10" s="12" t="s">
        <v>2</v>
      </c>
      <c r="E10" s="32" t="str">
        <f t="shared" si="0"/>
        <v>MASCULINO</v>
      </c>
    </row>
    <row r="11" spans="1:5" ht="17.399999999999999" x14ac:dyDescent="0.3">
      <c r="B11" s="10" t="s">
        <v>19</v>
      </c>
      <c r="C11" s="10" t="s">
        <v>14</v>
      </c>
      <c r="D11" s="12" t="s">
        <v>2</v>
      </c>
      <c r="E11" s="32" t="str">
        <f t="shared" si="0"/>
        <v>MASCULINO</v>
      </c>
    </row>
    <row r="12" spans="1:5" ht="17.399999999999999" x14ac:dyDescent="0.3">
      <c r="B12" s="10" t="s">
        <v>22</v>
      </c>
      <c r="C12" s="10" t="s">
        <v>24</v>
      </c>
      <c r="D12" s="12" t="s">
        <v>2</v>
      </c>
      <c r="E12" s="32" t="str">
        <f t="shared" si="0"/>
        <v>MASCULINO</v>
      </c>
    </row>
    <row r="13" spans="1:5" ht="17.399999999999999" x14ac:dyDescent="0.3">
      <c r="B13" s="10" t="s">
        <v>20</v>
      </c>
      <c r="C13" s="10" t="s">
        <v>23</v>
      </c>
      <c r="D13" s="12" t="s">
        <v>3</v>
      </c>
      <c r="E13" s="32" t="str">
        <f t="shared" si="0"/>
        <v>FEMENINO</v>
      </c>
    </row>
  </sheetData>
  <mergeCells count="2">
    <mergeCell ref="B3:C3"/>
    <mergeCell ref="B4:C4"/>
  </mergeCells>
  <phoneticPr fontId="0" type="noConversion"/>
  <pageMargins left="0.75" right="0.75" top="1" bottom="1" header="0.511811024" footer="0.511811024"/>
  <pageSetup paperSize="9" orientation="portrait" horizontalDpi="180" verticalDpi="180" r:id="rId1"/>
  <headerFooter alignWithMargins="0">
    <oddHeader>&amp;A</oddHeader>
    <oddFooter>Página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4:H14"/>
  <sheetViews>
    <sheetView showGridLines="0" workbookViewId="0">
      <selection activeCell="J18" sqref="J18"/>
    </sheetView>
  </sheetViews>
  <sheetFormatPr baseColWidth="10" defaultRowHeight="13.2" x14ac:dyDescent="0.25"/>
  <cols>
    <col min="1" max="1" width="6.6640625" customWidth="1"/>
    <col min="2" max="2" width="30.5546875" customWidth="1"/>
    <col min="3" max="3" width="14.6640625" customWidth="1"/>
    <col min="4" max="4" width="12.33203125" customWidth="1"/>
    <col min="6" max="6" width="16.33203125" customWidth="1"/>
    <col min="7" max="7" width="28.109375" bestFit="1" customWidth="1"/>
  </cols>
  <sheetData>
    <row r="4" spans="2:8" ht="17.399999999999999" x14ac:dyDescent="0.3">
      <c r="B4" s="8" t="s">
        <v>66</v>
      </c>
      <c r="C4" s="8" t="s">
        <v>67</v>
      </c>
      <c r="D4" s="9"/>
      <c r="E4" s="8"/>
      <c r="F4" s="26"/>
      <c r="G4" s="26"/>
    </row>
    <row r="5" spans="2:8" ht="17.399999999999999" x14ac:dyDescent="0.3">
      <c r="B5" s="33" t="s">
        <v>89</v>
      </c>
      <c r="C5" s="62" t="s">
        <v>90</v>
      </c>
      <c r="D5" s="62"/>
      <c r="E5" s="62"/>
      <c r="F5" s="26"/>
      <c r="G5" s="26"/>
    </row>
    <row r="6" spans="2:8" ht="17.399999999999999" x14ac:dyDescent="0.3">
      <c r="B6" s="33" t="s">
        <v>88</v>
      </c>
      <c r="C6" s="62" t="s">
        <v>91</v>
      </c>
      <c r="D6" s="62"/>
      <c r="E6" s="62"/>
      <c r="F6" s="26"/>
      <c r="G6" s="26"/>
    </row>
    <row r="7" spans="2:8" ht="17.399999999999999" x14ac:dyDescent="0.3">
      <c r="B7" s="26"/>
      <c r="C7" s="26"/>
      <c r="D7" s="26"/>
      <c r="E7" s="26"/>
      <c r="F7" s="26"/>
      <c r="G7" s="26"/>
    </row>
    <row r="8" spans="2:8" ht="21.6" customHeight="1" x14ac:dyDescent="0.25">
      <c r="B8" s="14" t="s">
        <v>85</v>
      </c>
      <c r="C8" s="14" t="s">
        <v>81</v>
      </c>
      <c r="D8" s="14" t="s">
        <v>82</v>
      </c>
      <c r="E8" s="14" t="s">
        <v>83</v>
      </c>
      <c r="F8" s="14" t="s">
        <v>84</v>
      </c>
      <c r="G8" s="14" t="s">
        <v>92</v>
      </c>
    </row>
    <row r="9" spans="2:8" ht="17.399999999999999" x14ac:dyDescent="0.3">
      <c r="B9" s="10" t="s">
        <v>16</v>
      </c>
      <c r="C9" s="33">
        <v>14</v>
      </c>
      <c r="D9" s="33">
        <v>13</v>
      </c>
      <c r="E9" s="33">
        <v>17</v>
      </c>
      <c r="F9" s="51">
        <f>AVERAGE(C9:E9)</f>
        <v>14.666666666666666</v>
      </c>
      <c r="G9" s="30" t="str">
        <f>+IF(F9&gt;=10.5,"APROBADO","REPROBADO")</f>
        <v>APROBADO</v>
      </c>
      <c r="H9" s="28"/>
    </row>
    <row r="10" spans="2:8" ht="17.399999999999999" x14ac:dyDescent="0.3">
      <c r="B10" s="10" t="s">
        <v>17</v>
      </c>
      <c r="C10" s="33">
        <v>8</v>
      </c>
      <c r="D10" s="33">
        <v>9</v>
      </c>
      <c r="E10" s="33">
        <v>10</v>
      </c>
      <c r="F10" s="51">
        <f t="shared" ref="F10:F14" si="0">AVERAGE(C10:E10)</f>
        <v>9</v>
      </c>
      <c r="G10" s="30" t="str">
        <f t="shared" ref="G10:G14" si="1">+IF(F10&gt;=10.5,"APROBADO","REPROBADO")</f>
        <v>REPROBADO</v>
      </c>
    </row>
    <row r="11" spans="2:8" ht="17.399999999999999" x14ac:dyDescent="0.3">
      <c r="B11" s="10" t="s">
        <v>18</v>
      </c>
      <c r="C11" s="33">
        <v>5</v>
      </c>
      <c r="D11" s="33">
        <v>4</v>
      </c>
      <c r="E11" s="33">
        <v>14</v>
      </c>
      <c r="F11" s="51">
        <f t="shared" si="0"/>
        <v>7.666666666666667</v>
      </c>
      <c r="G11" s="30" t="str">
        <f t="shared" si="1"/>
        <v>REPROBADO</v>
      </c>
    </row>
    <row r="12" spans="2:8" ht="17.399999999999999" x14ac:dyDescent="0.3">
      <c r="B12" s="10" t="s">
        <v>19</v>
      </c>
      <c r="C12" s="33">
        <v>6</v>
      </c>
      <c r="D12" s="33">
        <v>15</v>
      </c>
      <c r="E12" s="33">
        <v>6</v>
      </c>
      <c r="F12" s="51">
        <f t="shared" si="0"/>
        <v>9</v>
      </c>
      <c r="G12" s="30" t="str">
        <f t="shared" si="1"/>
        <v>REPROBADO</v>
      </c>
    </row>
    <row r="13" spans="2:8" ht="17.399999999999999" x14ac:dyDescent="0.3">
      <c r="B13" s="10" t="s">
        <v>22</v>
      </c>
      <c r="C13" s="33">
        <v>8</v>
      </c>
      <c r="D13" s="33">
        <v>11</v>
      </c>
      <c r="E13" s="33">
        <v>10</v>
      </c>
      <c r="F13" s="51">
        <f t="shared" si="0"/>
        <v>9.6666666666666661</v>
      </c>
      <c r="G13" s="30" t="str">
        <f t="shared" si="1"/>
        <v>REPROBADO</v>
      </c>
    </row>
    <row r="14" spans="2:8" ht="17.399999999999999" x14ac:dyDescent="0.3">
      <c r="B14" s="10" t="s">
        <v>20</v>
      </c>
      <c r="C14" s="33">
        <v>16</v>
      </c>
      <c r="D14" s="33">
        <v>12</v>
      </c>
      <c r="E14" s="33">
        <v>11</v>
      </c>
      <c r="F14" s="51">
        <f t="shared" si="0"/>
        <v>13</v>
      </c>
      <c r="G14" s="30" t="str">
        <f t="shared" si="1"/>
        <v>APROBADO</v>
      </c>
    </row>
  </sheetData>
  <mergeCells count="2">
    <mergeCell ref="C5:E5"/>
    <mergeCell ref="C6:E6"/>
  </mergeCells>
  <conditionalFormatting sqref="C9:F14">
    <cfRule type="cellIs" dxfId="3" priority="1" stopIfTrue="1" operator="greaterThanOrEqual">
      <formula>10.5</formula>
    </cfRule>
    <cfRule type="cellIs" dxfId="2" priority="2" stopIfTrue="1" operator="lessThan">
      <formula>10.5</formula>
    </cfRule>
  </conditionalFormatting>
  <conditionalFormatting sqref="G9:G14">
    <cfRule type="cellIs" dxfId="1" priority="3" stopIfTrue="1" operator="equal">
      <formula>"APROBADO"</formula>
    </cfRule>
    <cfRule type="cellIs" dxfId="0" priority="4" stopIfTrue="1" operator="equal">
      <formula>"DESAPROBADO"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B2:K19"/>
  <sheetViews>
    <sheetView topLeftCell="A2" workbookViewId="0">
      <selection activeCell="D17" sqref="D17"/>
    </sheetView>
  </sheetViews>
  <sheetFormatPr baseColWidth="10" defaultRowHeight="13.2" x14ac:dyDescent="0.25"/>
  <cols>
    <col min="1" max="1" width="7" customWidth="1"/>
    <col min="2" max="2" width="43.33203125" customWidth="1"/>
    <col min="3" max="3" width="30.33203125" customWidth="1"/>
    <col min="4" max="4" width="31.44140625" bestFit="1" customWidth="1"/>
    <col min="5" max="5" width="16" customWidth="1"/>
  </cols>
  <sheetData>
    <row r="2" spans="2:11" ht="17.399999999999999" x14ac:dyDescent="0.3">
      <c r="B2" s="63" t="s">
        <v>122</v>
      </c>
      <c r="C2" s="63"/>
    </row>
    <row r="10" spans="2:11" ht="22.8" x14ac:dyDescent="0.4">
      <c r="G10" s="55"/>
      <c r="H10" s="55"/>
      <c r="I10" s="55"/>
      <c r="J10" s="54"/>
      <c r="K10" s="54"/>
    </row>
    <row r="11" spans="2:11" ht="27" customHeight="1" x14ac:dyDescent="0.25">
      <c r="B11" s="14" t="s">
        <v>70</v>
      </c>
      <c r="C11" s="14" t="s">
        <v>71</v>
      </c>
      <c r="D11" s="14" t="s">
        <v>72</v>
      </c>
    </row>
    <row r="12" spans="2:11" ht="21.6" customHeight="1" x14ac:dyDescent="0.3">
      <c r="B12" s="34" t="s">
        <v>73</v>
      </c>
      <c r="C12" s="56">
        <v>14</v>
      </c>
      <c r="D12" s="57" t="str" cm="1">
        <f t="array" ref="D12">+_xlfn.IFS(C12&gt;=15,"80%",C12&gt;=12,"60%",C12&lt;12,"no se otorga beca")</f>
        <v>60%</v>
      </c>
    </row>
    <row r="13" spans="2:11" ht="22.2" customHeight="1" x14ac:dyDescent="0.3">
      <c r="B13" s="34" t="s">
        <v>74</v>
      </c>
      <c r="C13" s="56">
        <v>13</v>
      </c>
      <c r="D13" s="57" t="str" cm="1">
        <f t="array" ref="D13">+_xlfn.IFS(C13&gt;=15,"80%",C13&gt;=12,"60%",C13&lt;12,"no se otorga beca")</f>
        <v>60%</v>
      </c>
    </row>
    <row r="14" spans="2:11" ht="21.6" customHeight="1" x14ac:dyDescent="0.3">
      <c r="B14" s="34" t="s">
        <v>75</v>
      </c>
      <c r="C14" s="56">
        <v>15</v>
      </c>
      <c r="D14" s="57" t="str" cm="1">
        <f t="array" ref="D14">+_xlfn.IFS(C14&gt;=15,"80%",C14&gt;=12,"60%",C14&lt;12,"no se otorga beca")</f>
        <v>80%</v>
      </c>
    </row>
    <row r="15" spans="2:11" ht="21.6" customHeight="1" x14ac:dyDescent="0.4">
      <c r="B15" s="34" t="s">
        <v>76</v>
      </c>
      <c r="C15" s="56">
        <v>14</v>
      </c>
      <c r="D15" s="57" t="str" cm="1">
        <f t="array" ref="D15">+_xlfn.IFS(C15&gt;=15,"80%",C15&gt;=12,"60%",C15&lt;12,"no se otorga beca")</f>
        <v>60%</v>
      </c>
      <c r="H15" s="52"/>
      <c r="I15" s="53"/>
      <c r="J15" s="54"/>
    </row>
    <row r="16" spans="2:11" ht="24" customHeight="1" x14ac:dyDescent="0.3">
      <c r="B16" s="34" t="s">
        <v>77</v>
      </c>
      <c r="C16" s="56">
        <v>11</v>
      </c>
      <c r="D16" s="57" t="str" cm="1">
        <f t="array" ref="D16">+_xlfn.IFS(C16&gt;=15,"80%",C16&gt;=12,"60%",C16&lt;12,"no se otorga beca")</f>
        <v>no se otorga beca</v>
      </c>
    </row>
    <row r="17" spans="2:4" ht="21" customHeight="1" x14ac:dyDescent="0.3">
      <c r="B17" s="34" t="s">
        <v>78</v>
      </c>
      <c r="C17" s="56">
        <v>15</v>
      </c>
      <c r="D17" s="57" t="str" cm="1">
        <f t="array" ref="D17">+_xlfn.IFS(C17&gt;=15,"80%",C17&gt;=12,"60%",C17&lt;12,"no se otorga beca")</f>
        <v>80%</v>
      </c>
    </row>
    <row r="18" spans="2:4" ht="26.4" customHeight="1" x14ac:dyDescent="0.3">
      <c r="B18" s="34" t="s">
        <v>79</v>
      </c>
      <c r="C18" s="56">
        <v>13</v>
      </c>
      <c r="D18" s="57" t="str" cm="1">
        <f t="array" ref="D18">+_xlfn.IFS(C18&gt;=15,"80%",C18&gt;=12,"60%",C18&lt;12,"no se otorga beca")</f>
        <v>60%</v>
      </c>
    </row>
    <row r="19" spans="2:4" ht="22.2" customHeight="1" x14ac:dyDescent="0.3">
      <c r="B19" s="34" t="s">
        <v>80</v>
      </c>
      <c r="C19" s="56">
        <v>15</v>
      </c>
      <c r="D19" s="57" t="str" cm="1">
        <f t="array" ref="D19">+_xlfn.IFS(C19&gt;=15,"80%",C19&gt;=12,"60%",C19&lt;12,"no se otorga beca")</f>
        <v>80%</v>
      </c>
    </row>
  </sheetData>
  <mergeCells count="1">
    <mergeCell ref="B2:C2"/>
  </mergeCells>
  <pageMargins left="0.7" right="0.7" top="0.75" bottom="0.75" header="0.3" footer="0.3"/>
  <pageSetup paperSize="9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4:G18"/>
  <sheetViews>
    <sheetView showGridLines="0" workbookViewId="0">
      <selection activeCell="G15" sqref="G15"/>
    </sheetView>
  </sheetViews>
  <sheetFormatPr baseColWidth="10" defaultRowHeight="13.2" x14ac:dyDescent="0.25"/>
  <cols>
    <col min="1" max="1" width="7.109375" customWidth="1"/>
    <col min="2" max="2" width="35.6640625" bestFit="1" customWidth="1"/>
    <col min="3" max="3" width="31.44140625" bestFit="1" customWidth="1"/>
    <col min="4" max="4" width="31.44140625" customWidth="1"/>
    <col min="5" max="5" width="16.6640625" bestFit="1" customWidth="1"/>
    <col min="6" max="6" width="14.6640625" customWidth="1"/>
    <col min="7" max="7" width="19.88671875" bestFit="1" customWidth="1"/>
  </cols>
  <sheetData>
    <row r="4" spans="2:7" ht="15.6" x14ac:dyDescent="0.3">
      <c r="B4" s="29"/>
      <c r="C4" s="60"/>
      <c r="D4" s="60"/>
      <c r="E4" s="60"/>
      <c r="F4" s="60"/>
      <c r="G4" s="60"/>
    </row>
    <row r="5" spans="2:7" ht="15.6" x14ac:dyDescent="0.3">
      <c r="B5" s="29"/>
      <c r="C5" s="60"/>
      <c r="D5" s="60"/>
      <c r="E5" s="60"/>
      <c r="F5" s="60"/>
      <c r="G5" s="60"/>
    </row>
    <row r="7" spans="2:7" ht="39.6" x14ac:dyDescent="0.25">
      <c r="G7" s="59" t="s">
        <v>121</v>
      </c>
    </row>
    <row r="9" spans="2:7" ht="27.6" customHeight="1" x14ac:dyDescent="0.25">
      <c r="B9" s="14" t="s">
        <v>0</v>
      </c>
      <c r="C9" s="14" t="s">
        <v>68</v>
      </c>
      <c r="D9" s="14" t="s">
        <v>124</v>
      </c>
      <c r="E9" s="14" t="s">
        <v>8</v>
      </c>
      <c r="F9" s="14" t="s">
        <v>69</v>
      </c>
      <c r="G9" s="14" t="s">
        <v>49</v>
      </c>
    </row>
    <row r="10" spans="2:7" ht="17.399999999999999" x14ac:dyDescent="0.3">
      <c r="B10" s="10" t="s">
        <v>50</v>
      </c>
      <c r="C10" s="23">
        <v>36609</v>
      </c>
      <c r="D10" s="23" t="str">
        <f>+TEXT(C10,"mmm")</f>
        <v>mar</v>
      </c>
      <c r="E10" s="12" t="s">
        <v>4</v>
      </c>
      <c r="F10" s="35">
        <v>2000</v>
      </c>
      <c r="G10" s="31">
        <f>+IF(AND(D10=$D$11,E10=$E$11),20%*F10,10%*F10)</f>
        <v>200</v>
      </c>
    </row>
    <row r="11" spans="2:7" ht="17.399999999999999" x14ac:dyDescent="0.3">
      <c r="B11" s="10" t="s">
        <v>51</v>
      </c>
      <c r="C11" s="23">
        <v>35057</v>
      </c>
      <c r="D11" s="23" t="str">
        <f t="shared" ref="D11:D18" si="0">+TEXT(C11,"mmm")</f>
        <v>dic</v>
      </c>
      <c r="E11" s="12" t="s">
        <v>9</v>
      </c>
      <c r="F11" s="35">
        <v>1500</v>
      </c>
      <c r="G11" s="31">
        <f>+IF(AND(D11="dic",E11="A"),20%*F11,10%*F11)</f>
        <v>300</v>
      </c>
    </row>
    <row r="12" spans="2:7" ht="17.399999999999999" x14ac:dyDescent="0.3">
      <c r="B12" s="10" t="s">
        <v>52</v>
      </c>
      <c r="C12" s="23">
        <v>36817</v>
      </c>
      <c r="D12" s="23" t="str">
        <f t="shared" si="0"/>
        <v>oct</v>
      </c>
      <c r="E12" s="12" t="s">
        <v>4</v>
      </c>
      <c r="F12" s="35">
        <v>2500</v>
      </c>
      <c r="G12" s="31">
        <f t="shared" ref="G12:G18" si="1">+IF(AND(D12="dic",E12="A"),20%*F12,10%*F12)</f>
        <v>250</v>
      </c>
    </row>
    <row r="13" spans="2:7" ht="17.399999999999999" x14ac:dyDescent="0.3">
      <c r="B13" s="10" t="s">
        <v>53</v>
      </c>
      <c r="C13" s="23">
        <v>36351</v>
      </c>
      <c r="D13" s="23" t="str">
        <f t="shared" si="0"/>
        <v>jul</v>
      </c>
      <c r="E13" s="12" t="s">
        <v>9</v>
      </c>
      <c r="F13" s="35">
        <v>1500</v>
      </c>
      <c r="G13" s="31">
        <f t="shared" si="1"/>
        <v>150</v>
      </c>
    </row>
    <row r="14" spans="2:7" ht="17.399999999999999" x14ac:dyDescent="0.3">
      <c r="B14" s="10" t="s">
        <v>54</v>
      </c>
      <c r="C14" s="23">
        <v>36932</v>
      </c>
      <c r="D14" s="23" t="str">
        <f t="shared" si="0"/>
        <v>feb</v>
      </c>
      <c r="E14" s="12" t="s">
        <v>10</v>
      </c>
      <c r="F14" s="35">
        <v>1000</v>
      </c>
      <c r="G14" s="31">
        <f t="shared" si="1"/>
        <v>100</v>
      </c>
    </row>
    <row r="15" spans="2:7" ht="17.399999999999999" x14ac:dyDescent="0.3">
      <c r="B15" s="10" t="s">
        <v>55</v>
      </c>
      <c r="C15" s="23">
        <v>30072</v>
      </c>
      <c r="D15" s="23" t="str">
        <f t="shared" si="0"/>
        <v>may</v>
      </c>
      <c r="E15" s="12" t="s">
        <v>6</v>
      </c>
      <c r="F15" s="35">
        <v>1400</v>
      </c>
      <c r="G15" s="31">
        <f t="shared" si="1"/>
        <v>140</v>
      </c>
    </row>
    <row r="16" spans="2:7" ht="17.399999999999999" x14ac:dyDescent="0.3">
      <c r="B16" s="10" t="s">
        <v>56</v>
      </c>
      <c r="C16" s="23">
        <v>32136</v>
      </c>
      <c r="D16" s="23" t="str">
        <f t="shared" si="0"/>
        <v>dic</v>
      </c>
      <c r="E16" s="12" t="s">
        <v>9</v>
      </c>
      <c r="F16" s="35">
        <v>1500</v>
      </c>
      <c r="G16" s="31">
        <f t="shared" si="1"/>
        <v>300</v>
      </c>
    </row>
    <row r="17" spans="2:7" ht="17.399999999999999" x14ac:dyDescent="0.3">
      <c r="B17" s="10" t="s">
        <v>57</v>
      </c>
      <c r="C17" s="23">
        <v>23962</v>
      </c>
      <c r="D17" s="23" t="str">
        <f t="shared" si="0"/>
        <v>ago</v>
      </c>
      <c r="E17" s="12" t="s">
        <v>4</v>
      </c>
      <c r="F17" s="35">
        <v>2000</v>
      </c>
      <c r="G17" s="31">
        <f t="shared" si="1"/>
        <v>200</v>
      </c>
    </row>
    <row r="18" spans="2:7" ht="17.399999999999999" x14ac:dyDescent="0.3">
      <c r="B18" s="10" t="s">
        <v>58</v>
      </c>
      <c r="C18" s="23">
        <v>24379</v>
      </c>
      <c r="D18" s="23" t="str">
        <f t="shared" si="0"/>
        <v>sept</v>
      </c>
      <c r="E18" s="12" t="s">
        <v>10</v>
      </c>
      <c r="F18" s="35">
        <v>1200</v>
      </c>
      <c r="G18" s="31">
        <f t="shared" si="1"/>
        <v>120</v>
      </c>
    </row>
  </sheetData>
  <mergeCells count="1">
    <mergeCell ref="C4:G5"/>
  </mergeCells>
  <pageMargins left="0.7" right="0.7" top="0.75" bottom="0.75" header="0.3" footer="0.3"/>
  <pageSetup paperSize="9" orientation="portrait" horizontalDpi="4294967292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4:G17"/>
  <sheetViews>
    <sheetView workbookViewId="0">
      <selection activeCell="G11" sqref="G11"/>
    </sheetView>
  </sheetViews>
  <sheetFormatPr baseColWidth="10" defaultRowHeight="13.2" x14ac:dyDescent="0.25"/>
  <cols>
    <col min="1" max="1" width="5.33203125" customWidth="1"/>
    <col min="2" max="2" width="35.6640625" bestFit="1" customWidth="1"/>
    <col min="3" max="3" width="31.44140625" bestFit="1" customWidth="1"/>
    <col min="4" max="4" width="31.44140625" customWidth="1"/>
    <col min="5" max="5" width="16.6640625" bestFit="1" customWidth="1"/>
    <col min="6" max="6" width="19.88671875" customWidth="1"/>
    <col min="7" max="7" width="19.88671875" bestFit="1" customWidth="1"/>
  </cols>
  <sheetData>
    <row r="4" spans="2:7" ht="15.6" x14ac:dyDescent="0.3">
      <c r="B4" s="29"/>
      <c r="C4" s="64"/>
      <c r="D4" s="64"/>
      <c r="E4" s="64"/>
      <c r="F4" s="64"/>
      <c r="G4" s="64"/>
    </row>
    <row r="5" spans="2:7" ht="33" customHeight="1" x14ac:dyDescent="0.3">
      <c r="B5" s="29"/>
      <c r="C5" s="64"/>
      <c r="D5" s="64"/>
      <c r="E5" s="64"/>
      <c r="F5" s="64"/>
      <c r="G5" s="64"/>
    </row>
    <row r="6" spans="2:7" ht="40.200000000000003" x14ac:dyDescent="0.3">
      <c r="B6" s="29"/>
      <c r="C6" s="36"/>
      <c r="D6" s="36"/>
      <c r="E6" s="36"/>
      <c r="F6" s="36"/>
      <c r="G6" s="59" t="s">
        <v>123</v>
      </c>
    </row>
    <row r="8" spans="2:7" ht="17.399999999999999" x14ac:dyDescent="0.3">
      <c r="B8" s="8" t="s">
        <v>0</v>
      </c>
      <c r="C8" s="8" t="s">
        <v>68</v>
      </c>
      <c r="D8" s="9" t="s">
        <v>125</v>
      </c>
      <c r="E8" s="8" t="s">
        <v>8</v>
      </c>
      <c r="F8" s="8" t="s">
        <v>69</v>
      </c>
      <c r="G8" s="8" t="s">
        <v>49</v>
      </c>
    </row>
    <row r="9" spans="2:7" ht="17.399999999999999" x14ac:dyDescent="0.3">
      <c r="B9" s="10" t="s">
        <v>50</v>
      </c>
      <c r="C9" s="66">
        <v>40261</v>
      </c>
      <c r="D9" s="23" t="str">
        <f>TEXT(C9,"YYY")</f>
        <v>2010</v>
      </c>
      <c r="E9" s="12" t="s">
        <v>9</v>
      </c>
      <c r="F9" s="37">
        <v>2000</v>
      </c>
      <c r="G9" s="58">
        <f>+IF(AND(D9&gt;2000,E9=$E$9),15%*F9,5%*F9)</f>
        <v>300</v>
      </c>
    </row>
    <row r="10" spans="2:7" ht="17.399999999999999" x14ac:dyDescent="0.3">
      <c r="B10" s="10" t="s">
        <v>51</v>
      </c>
      <c r="C10" s="66">
        <v>35057</v>
      </c>
      <c r="D10" s="23" t="str">
        <f t="shared" ref="D10:D17" si="0">TEXT(C10,"YYY")</f>
        <v>1995</v>
      </c>
      <c r="E10" s="12" t="s">
        <v>10</v>
      </c>
      <c r="F10" s="37">
        <v>1500</v>
      </c>
      <c r="G10" s="58">
        <f t="shared" ref="G10:G17" si="1">+IF(AND(D10&gt;2000,E10=$E$9),15%*F10,5%*F10)</f>
        <v>75</v>
      </c>
    </row>
    <row r="11" spans="2:7" ht="17.399999999999999" x14ac:dyDescent="0.3">
      <c r="B11" s="10" t="s">
        <v>52</v>
      </c>
      <c r="C11" s="66">
        <v>38643</v>
      </c>
      <c r="D11" s="23" t="str">
        <f t="shared" si="0"/>
        <v>2005</v>
      </c>
      <c r="E11" s="12" t="s">
        <v>9</v>
      </c>
      <c r="F11" s="37">
        <v>2500</v>
      </c>
      <c r="G11" s="58">
        <f t="shared" si="1"/>
        <v>375</v>
      </c>
    </row>
    <row r="12" spans="2:7" ht="17.399999999999999" x14ac:dyDescent="0.3">
      <c r="B12" s="10" t="s">
        <v>53</v>
      </c>
      <c r="C12" s="66">
        <v>36351</v>
      </c>
      <c r="D12" s="23" t="str">
        <f t="shared" si="0"/>
        <v>1999</v>
      </c>
      <c r="E12" s="12" t="s">
        <v>9</v>
      </c>
      <c r="F12" s="37">
        <v>1500</v>
      </c>
      <c r="G12" s="58">
        <f t="shared" si="1"/>
        <v>225</v>
      </c>
    </row>
    <row r="13" spans="2:7" ht="17.399999999999999" x14ac:dyDescent="0.3">
      <c r="B13" s="10" t="s">
        <v>54</v>
      </c>
      <c r="C13" s="66">
        <v>36932</v>
      </c>
      <c r="D13" s="23" t="str">
        <f t="shared" si="0"/>
        <v>2001</v>
      </c>
      <c r="E13" s="12" t="s">
        <v>9</v>
      </c>
      <c r="F13" s="37">
        <v>1000</v>
      </c>
      <c r="G13" s="58">
        <f t="shared" si="1"/>
        <v>150</v>
      </c>
    </row>
    <row r="14" spans="2:7" ht="17.399999999999999" x14ac:dyDescent="0.3">
      <c r="B14" s="10" t="s">
        <v>55</v>
      </c>
      <c r="C14" s="66">
        <v>30072</v>
      </c>
      <c r="D14" s="23" t="str">
        <f t="shared" si="0"/>
        <v>1982</v>
      </c>
      <c r="E14" s="12" t="s">
        <v>6</v>
      </c>
      <c r="F14" s="37">
        <v>1400</v>
      </c>
      <c r="G14" s="58">
        <f t="shared" si="1"/>
        <v>70</v>
      </c>
    </row>
    <row r="15" spans="2:7" ht="17.399999999999999" x14ac:dyDescent="0.3">
      <c r="B15" s="10" t="s">
        <v>56</v>
      </c>
      <c r="C15" s="66">
        <v>31892</v>
      </c>
      <c r="D15" s="23" t="str">
        <f t="shared" si="0"/>
        <v>1987</v>
      </c>
      <c r="E15" s="12" t="s">
        <v>9</v>
      </c>
      <c r="F15" s="37">
        <v>1500</v>
      </c>
      <c r="G15" s="58">
        <f t="shared" si="1"/>
        <v>225</v>
      </c>
    </row>
    <row r="16" spans="2:7" ht="17.399999999999999" x14ac:dyDescent="0.3">
      <c r="B16" s="10" t="s">
        <v>57</v>
      </c>
      <c r="C16" s="66">
        <v>23962</v>
      </c>
      <c r="D16" s="23" t="str">
        <f t="shared" si="0"/>
        <v>1965</v>
      </c>
      <c r="E16" s="12" t="s">
        <v>4</v>
      </c>
      <c r="F16" s="37">
        <v>2000</v>
      </c>
      <c r="G16" s="58">
        <f t="shared" si="1"/>
        <v>100</v>
      </c>
    </row>
    <row r="17" spans="2:7" ht="17.399999999999999" x14ac:dyDescent="0.3">
      <c r="B17" s="10" t="s">
        <v>58</v>
      </c>
      <c r="C17" s="66">
        <v>24379</v>
      </c>
      <c r="D17" s="23" t="str">
        <f t="shared" si="0"/>
        <v>1966</v>
      </c>
      <c r="E17" s="12" t="s">
        <v>10</v>
      </c>
      <c r="F17" s="37">
        <v>1200</v>
      </c>
      <c r="G17" s="58">
        <f t="shared" si="1"/>
        <v>60</v>
      </c>
    </row>
  </sheetData>
  <mergeCells count="1">
    <mergeCell ref="C4:G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C2:H20"/>
  <sheetViews>
    <sheetView showGridLines="0" topLeftCell="A4" workbookViewId="0">
      <selection activeCell="E12" sqref="E12:E18"/>
    </sheetView>
  </sheetViews>
  <sheetFormatPr baseColWidth="10" defaultRowHeight="13.2" x14ac:dyDescent="0.25"/>
  <cols>
    <col min="1" max="1" width="1.6640625" customWidth="1"/>
    <col min="3" max="3" width="46.44140625" customWidth="1"/>
    <col min="4" max="4" width="11.6640625" customWidth="1"/>
    <col min="5" max="5" width="23.6640625" bestFit="1" customWidth="1"/>
  </cols>
  <sheetData>
    <row r="2" spans="3:8" x14ac:dyDescent="0.25">
      <c r="C2" t="s">
        <v>122</v>
      </c>
    </row>
    <row r="4" spans="3:8" ht="17.399999999999999" x14ac:dyDescent="0.3">
      <c r="C4" s="65" t="s">
        <v>27</v>
      </c>
      <c r="D4" s="65"/>
      <c r="E4" s="65"/>
      <c r="F4" s="65"/>
      <c r="G4" s="65"/>
      <c r="H4" s="65"/>
    </row>
    <row r="6" spans="3:8" ht="21" x14ac:dyDescent="0.4">
      <c r="C6" s="7" t="s">
        <v>36</v>
      </c>
    </row>
    <row r="7" spans="3:8" ht="21" x14ac:dyDescent="0.4">
      <c r="C7" s="7" t="s">
        <v>37</v>
      </c>
    </row>
    <row r="8" spans="3:8" ht="21" x14ac:dyDescent="0.4">
      <c r="C8" s="7" t="s">
        <v>38</v>
      </c>
    </row>
    <row r="9" spans="3:8" ht="21" x14ac:dyDescent="0.4">
      <c r="C9" s="7" t="s">
        <v>39</v>
      </c>
    </row>
    <row r="11" spans="3:8" ht="17.399999999999999" x14ac:dyDescent="0.3">
      <c r="C11" s="8" t="s">
        <v>0</v>
      </c>
      <c r="D11" s="9" t="s">
        <v>28</v>
      </c>
      <c r="E11" s="8" t="s">
        <v>26</v>
      </c>
    </row>
    <row r="12" spans="3:8" ht="21" x14ac:dyDescent="0.4">
      <c r="C12" s="38" t="s">
        <v>29</v>
      </c>
      <c r="D12" s="11" t="s">
        <v>6</v>
      </c>
      <c r="E12" s="42" t="str" cm="1">
        <f t="array" ref="E12">_xlfn.IFS(D12="s","SOLTERO",D12="C","CASADO",D12="V","VIUDO",D12="D","DIVORCIADO")</f>
        <v>DIVORCIADO</v>
      </c>
    </row>
    <row r="13" spans="3:8" ht="21" x14ac:dyDescent="0.4">
      <c r="C13" s="38" t="s">
        <v>30</v>
      </c>
      <c r="D13" s="11" t="s">
        <v>5</v>
      </c>
      <c r="E13" s="42" t="str" cm="1">
        <f t="array" ref="E13">_xlfn.IFS(D13="s","SOLTERO",D13="C","CASADO",D13="V","VIUDO",D13="D","DIVORCIADO")</f>
        <v>SOLTERO</v>
      </c>
    </row>
    <row r="14" spans="3:8" ht="21" x14ac:dyDescent="0.4">
      <c r="C14" s="38" t="s">
        <v>31</v>
      </c>
      <c r="D14" s="11" t="s">
        <v>4</v>
      </c>
      <c r="E14" s="42" t="str" cm="1">
        <f t="array" ref="E14">_xlfn.IFS(D14="s","SOLTERO",D14="C","CASADO",D14="V","VIUDO",D14="D","DIVORCIADO")</f>
        <v>CASADO</v>
      </c>
    </row>
    <row r="15" spans="3:8" ht="21" x14ac:dyDescent="0.4">
      <c r="C15" s="38" t="s">
        <v>32</v>
      </c>
      <c r="D15" s="11" t="s">
        <v>7</v>
      </c>
      <c r="E15" s="42" t="str" cm="1">
        <f t="array" ref="E15">_xlfn.IFS(D15="s","SOLTERO",D15="C","CASADO",D15="V","VIUDO",D15="D","DIVORCIADO")</f>
        <v>VIUDO</v>
      </c>
    </row>
    <row r="16" spans="3:8" ht="21" x14ac:dyDescent="0.4">
      <c r="C16" s="38" t="s">
        <v>33</v>
      </c>
      <c r="D16" s="11" t="s">
        <v>4</v>
      </c>
      <c r="E16" s="42" t="str" cm="1">
        <f t="array" ref="E16">_xlfn.IFS(D16="s","SOLTERO",D16="C","CASADO",D16="V","VIUDO",D16="D","DIVORCIADO")</f>
        <v>CASADO</v>
      </c>
    </row>
    <row r="17" spans="3:5" ht="21" x14ac:dyDescent="0.4">
      <c r="C17" s="38" t="s">
        <v>34</v>
      </c>
      <c r="D17" s="11" t="s">
        <v>5</v>
      </c>
      <c r="E17" s="42" t="str" cm="1">
        <f t="array" ref="E17">_xlfn.IFS(D17="s","SOLTERO",D17="C","CASADO",D17="V","VIUDO",D17="D","DIVORCIADO")</f>
        <v>SOLTERO</v>
      </c>
    </row>
    <row r="18" spans="3:5" ht="21" x14ac:dyDescent="0.4">
      <c r="C18" s="38" t="s">
        <v>35</v>
      </c>
      <c r="D18" s="11" t="s">
        <v>7</v>
      </c>
      <c r="E18" s="42" t="str" cm="1">
        <f t="array" ref="E18">_xlfn.IFS(D18="s","SOLTERO",D18="C","CASADO",D18="V","VIUDO",D18="D","DIVORCIADO")</f>
        <v>VIUDO</v>
      </c>
    </row>
    <row r="19" spans="3:5" x14ac:dyDescent="0.25">
      <c r="D19" s="3"/>
    </row>
    <row r="20" spans="3:5" x14ac:dyDescent="0.25">
      <c r="D20" s="3"/>
    </row>
  </sheetData>
  <mergeCells count="1">
    <mergeCell ref="C4:H4"/>
  </mergeCells>
  <phoneticPr fontId="0" type="noConversion"/>
  <pageMargins left="0.75" right="0.75" top="1" bottom="1" header="0.511811024" footer="0.511811024"/>
  <pageSetup paperSize="9" orientation="portrait" horizontalDpi="180" verticalDpi="180" copies="0" r:id="rId1"/>
  <headerFooter alignWithMargins="0">
    <oddHeader>&amp;A</oddHeader>
    <oddFooter>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B2:G24"/>
  <sheetViews>
    <sheetView showGridLines="0" topLeftCell="A4" workbookViewId="0">
      <selection activeCell="F16" sqref="F16"/>
    </sheetView>
  </sheetViews>
  <sheetFormatPr baseColWidth="10" defaultRowHeight="13.2" x14ac:dyDescent="0.25"/>
  <cols>
    <col min="1" max="1" width="8.44140625" customWidth="1"/>
    <col min="2" max="2" width="4" customWidth="1"/>
    <col min="3" max="3" width="28.109375" customWidth="1"/>
    <col min="4" max="4" width="25.33203125" customWidth="1"/>
    <col min="5" max="5" width="16.6640625" bestFit="1" customWidth="1"/>
    <col min="6" max="6" width="21.44140625" bestFit="1" customWidth="1"/>
    <col min="7" max="7" width="24.5546875" bestFit="1" customWidth="1"/>
    <col min="8" max="8" width="16.6640625" bestFit="1" customWidth="1"/>
  </cols>
  <sheetData>
    <row r="2" spans="2:7" x14ac:dyDescent="0.25">
      <c r="C2" t="s">
        <v>122</v>
      </c>
    </row>
    <row r="4" spans="2:7" ht="17.399999999999999" x14ac:dyDescent="0.3">
      <c r="B4" s="65" t="s">
        <v>48</v>
      </c>
      <c r="C4" s="65"/>
      <c r="D4" s="65"/>
      <c r="E4" s="65"/>
      <c r="F4" s="65"/>
      <c r="G4" s="65"/>
    </row>
    <row r="5" spans="2:7" ht="17.399999999999999" x14ac:dyDescent="0.3">
      <c r="B5" s="15"/>
      <c r="C5" s="15"/>
      <c r="D5" s="15"/>
      <c r="E5" s="15"/>
      <c r="F5" s="15"/>
      <c r="G5" s="15"/>
    </row>
    <row r="6" spans="2:7" ht="18" customHeight="1" x14ac:dyDescent="0.25">
      <c r="C6" s="16" t="s">
        <v>8</v>
      </c>
      <c r="D6" s="17" t="s">
        <v>40</v>
      </c>
    </row>
    <row r="7" spans="2:7" ht="20.399999999999999" x14ac:dyDescent="0.25">
      <c r="C7" s="18" t="s">
        <v>9</v>
      </c>
      <c r="D7" s="19">
        <v>2500</v>
      </c>
    </row>
    <row r="8" spans="2:7" ht="17.399999999999999" customHeight="1" x14ac:dyDescent="0.25">
      <c r="C8" s="18" t="s">
        <v>10</v>
      </c>
      <c r="D8" s="19">
        <v>2000</v>
      </c>
    </row>
    <row r="9" spans="2:7" ht="20.399999999999999" x14ac:dyDescent="0.25">
      <c r="C9" s="18" t="s">
        <v>4</v>
      </c>
      <c r="D9" s="19">
        <v>1500</v>
      </c>
    </row>
    <row r="10" spans="2:7" ht="20.399999999999999" x14ac:dyDescent="0.25">
      <c r="C10" s="18" t="s">
        <v>6</v>
      </c>
      <c r="D10" s="19">
        <v>1000</v>
      </c>
    </row>
    <row r="12" spans="2:7" ht="17.399999999999999" x14ac:dyDescent="0.25">
      <c r="C12" s="14" t="s">
        <v>0</v>
      </c>
      <c r="D12" s="14" t="s">
        <v>25</v>
      </c>
      <c r="E12" s="14" t="s">
        <v>8</v>
      </c>
      <c r="F12" s="14" t="s">
        <v>40</v>
      </c>
    </row>
    <row r="13" spans="2:7" ht="20.399999999999999" x14ac:dyDescent="0.35">
      <c r="C13" s="10" t="s">
        <v>16</v>
      </c>
      <c r="D13" s="10" t="s">
        <v>21</v>
      </c>
      <c r="E13" s="13" t="s">
        <v>4</v>
      </c>
      <c r="F13" s="43" cm="1">
        <f t="array" ref="F13">+_xlfn.IFS(E13=$E$16,2500,E13=$E$14,2000,E13=$E$13,1500,E13=$E$18,1000)</f>
        <v>1500</v>
      </c>
    </row>
    <row r="14" spans="2:7" ht="20.399999999999999" x14ac:dyDescent="0.35">
      <c r="C14" s="10" t="s">
        <v>17</v>
      </c>
      <c r="D14" s="10" t="s">
        <v>21</v>
      </c>
      <c r="E14" s="13" t="s">
        <v>10</v>
      </c>
      <c r="F14" s="43" cm="1">
        <f t="array" ref="F14">+_xlfn.IFS(E14=$E$16,2500,E14=$E$14,2000,E14=$E$13,1500,E14=$E$18,1000)</f>
        <v>2000</v>
      </c>
    </row>
    <row r="15" spans="2:7" ht="20.399999999999999" x14ac:dyDescent="0.35">
      <c r="C15" s="10" t="s">
        <v>18</v>
      </c>
      <c r="D15" s="10" t="s">
        <v>13</v>
      </c>
      <c r="E15" s="13" t="s">
        <v>4</v>
      </c>
      <c r="F15" s="43" cm="1">
        <f t="array" ref="F15">+_xlfn.IFS(E15=$E$16,2500,E15=$E$14,2000,E15=$E$13,1500,E15=$E$18,1000)</f>
        <v>1500</v>
      </c>
    </row>
    <row r="16" spans="2:7" ht="20.399999999999999" x14ac:dyDescent="0.35">
      <c r="C16" s="10" t="s">
        <v>19</v>
      </c>
      <c r="D16" s="10" t="s">
        <v>14</v>
      </c>
      <c r="E16" s="13" t="s">
        <v>9</v>
      </c>
      <c r="F16" s="43" cm="1">
        <f t="array" ref="F16">+_xlfn.IFS(E16=$E$16,2500,E16=$E$14,2000,E16=$E$13,1500,E16=$E$18,1000)</f>
        <v>2500</v>
      </c>
    </row>
    <row r="17" spans="3:6" ht="20.399999999999999" x14ac:dyDescent="0.35">
      <c r="C17" s="10" t="s">
        <v>22</v>
      </c>
      <c r="D17" s="10" t="s">
        <v>24</v>
      </c>
      <c r="E17" s="13" t="s">
        <v>10</v>
      </c>
      <c r="F17" s="43" cm="1">
        <f t="array" ref="F17">+_xlfn.IFS(E17=$E$16,2500,E17=$E$14,2000,E17=$E$13,1500,E17=$E$18,1000)</f>
        <v>2000</v>
      </c>
    </row>
    <row r="18" spans="3:6" ht="20.399999999999999" x14ac:dyDescent="0.35">
      <c r="C18" s="10" t="s">
        <v>20</v>
      </c>
      <c r="D18" s="10" t="s">
        <v>23</v>
      </c>
      <c r="E18" s="13" t="s">
        <v>6</v>
      </c>
      <c r="F18" s="43" cm="1">
        <f t="array" ref="F18">+_xlfn.IFS(E18=$E$16,2500,E18=$E$14,2000,E18=$E$13,1500,E18=$E$18,1000)</f>
        <v>1000</v>
      </c>
    </row>
    <row r="19" spans="3:6" ht="20.399999999999999" x14ac:dyDescent="0.35">
      <c r="C19" s="10" t="s">
        <v>41</v>
      </c>
      <c r="D19" s="10" t="s">
        <v>47</v>
      </c>
      <c r="E19" s="13" t="s">
        <v>9</v>
      </c>
      <c r="F19" s="43" cm="1">
        <f t="array" ref="F19">+_xlfn.IFS(E19=$E$16,2500,E19=$E$14,2000,E19=$E$13,1500,E19=$E$18,1000)</f>
        <v>2500</v>
      </c>
    </row>
    <row r="20" spans="3:6" ht="20.399999999999999" x14ac:dyDescent="0.35">
      <c r="C20" s="10" t="s">
        <v>42</v>
      </c>
      <c r="D20" s="10" t="s">
        <v>14</v>
      </c>
      <c r="E20" s="13" t="s">
        <v>4</v>
      </c>
      <c r="F20" s="43" cm="1">
        <f t="array" ref="F20">+_xlfn.IFS(E20=$E$16,2500,E20=$E$14,2000,E20=$E$13,1500,E20=$E$18,1000)</f>
        <v>1500</v>
      </c>
    </row>
    <row r="21" spans="3:6" ht="20.399999999999999" x14ac:dyDescent="0.35">
      <c r="C21" s="10" t="s">
        <v>43</v>
      </c>
      <c r="D21" s="10" t="s">
        <v>15</v>
      </c>
      <c r="E21" s="13" t="s">
        <v>10</v>
      </c>
      <c r="F21" s="43" cm="1">
        <f t="array" ref="F21">+_xlfn.IFS(E21=$E$16,2500,E21=$E$14,2000,E21=$E$13,1500,E21=$E$18,1000)</f>
        <v>2000</v>
      </c>
    </row>
    <row r="22" spans="3:6" ht="20.399999999999999" x14ac:dyDescent="0.35">
      <c r="C22" s="10" t="s">
        <v>44</v>
      </c>
      <c r="D22" s="10" t="s">
        <v>14</v>
      </c>
      <c r="E22" s="13" t="s">
        <v>9</v>
      </c>
      <c r="F22" s="43" cm="1">
        <f t="array" ref="F22">+_xlfn.IFS(E22=$E$16,2500,E22=$E$14,2000,E22=$E$13,1500,E22=$E$18,1000)</f>
        <v>2500</v>
      </c>
    </row>
    <row r="23" spans="3:6" ht="20.399999999999999" x14ac:dyDescent="0.35">
      <c r="C23" s="10" t="s">
        <v>45</v>
      </c>
      <c r="D23" s="10" t="s">
        <v>14</v>
      </c>
      <c r="E23" s="13" t="s">
        <v>9</v>
      </c>
      <c r="F23" s="43" cm="1">
        <f t="array" ref="F23">+_xlfn.IFS(E23=$E$16,2500,E23=$E$14,2000,E23=$E$13,1500,E23=$E$18,1000)</f>
        <v>2500</v>
      </c>
    </row>
    <row r="24" spans="3:6" ht="20.399999999999999" x14ac:dyDescent="0.35">
      <c r="C24" s="10" t="s">
        <v>46</v>
      </c>
      <c r="D24" s="10" t="s">
        <v>14</v>
      </c>
      <c r="E24" s="13" t="s">
        <v>10</v>
      </c>
      <c r="F24" s="43" cm="1">
        <f t="array" ref="F24">+_xlfn.IFS(E24=$E$16,2500,E24=$E$14,2000,E24=$E$13,1500,E24=$E$18,1000)</f>
        <v>2000</v>
      </c>
    </row>
  </sheetData>
  <mergeCells count="1">
    <mergeCell ref="B4:G4"/>
  </mergeCells>
  <phoneticPr fontId="0" type="noConversion"/>
  <pageMargins left="0.75" right="0.75" top="1" bottom="1" header="0.511811024" footer="0.511811024"/>
  <pageSetup paperSize="9" orientation="portrait" horizontalDpi="180" verticalDpi="180" r:id="rId1"/>
  <headerFooter alignWithMargins="0">
    <oddHeader>&amp;A</oddHeader>
    <oddFooter>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I37"/>
  <sheetViews>
    <sheetView showGridLines="0" tabSelected="1" workbookViewId="0">
      <selection activeCell="G13" sqref="G13:G20"/>
    </sheetView>
  </sheetViews>
  <sheetFormatPr baseColWidth="10" defaultRowHeight="13.2" x14ac:dyDescent="0.25"/>
  <cols>
    <col min="1" max="1" width="5.33203125" customWidth="1"/>
    <col min="2" max="2" width="39" customWidth="1"/>
    <col min="3" max="4" width="24.44140625" customWidth="1"/>
    <col min="5" max="5" width="16.6640625" bestFit="1" customWidth="1"/>
    <col min="6" max="6" width="16.33203125" bestFit="1" customWidth="1"/>
    <col min="7" max="7" width="19.33203125" customWidth="1"/>
    <col min="8" max="8" width="7.6640625" customWidth="1"/>
    <col min="9" max="9" width="9.44140625" customWidth="1"/>
    <col min="12" max="12" width="8" customWidth="1"/>
    <col min="14" max="14" width="9.33203125" customWidth="1"/>
  </cols>
  <sheetData>
    <row r="1" spans="1:9" x14ac:dyDescent="0.25">
      <c r="B1" s="1"/>
      <c r="C1" s="1"/>
      <c r="D1" s="1"/>
      <c r="E1" s="1"/>
    </row>
    <row r="2" spans="1:9" ht="17.399999999999999" x14ac:dyDescent="0.3">
      <c r="B2" s="25" t="s">
        <v>65</v>
      </c>
      <c r="C2" s="25"/>
      <c r="D2" s="25"/>
      <c r="E2" s="25"/>
      <c r="F2" s="25"/>
      <c r="G2" s="25"/>
      <c r="H2" s="25"/>
    </row>
    <row r="3" spans="1:9" ht="17.399999999999999" x14ac:dyDescent="0.3">
      <c r="B3" s="25"/>
      <c r="C3" s="25"/>
      <c r="D3" s="25"/>
      <c r="E3" s="25"/>
      <c r="F3" s="25"/>
      <c r="G3" s="25"/>
      <c r="H3" s="25"/>
    </row>
    <row r="4" spans="1:9" x14ac:dyDescent="0.25">
      <c r="B4" s="5"/>
      <c r="C4" s="5"/>
      <c r="D4" s="5"/>
      <c r="E4" s="5"/>
    </row>
    <row r="5" spans="1:9" ht="17.399999999999999" x14ac:dyDescent="0.3">
      <c r="B5" s="20" t="s">
        <v>60</v>
      </c>
      <c r="C5" s="26"/>
      <c r="D5" s="26"/>
      <c r="E5" s="20" t="s">
        <v>12</v>
      </c>
    </row>
    <row r="6" spans="1:9" ht="17.399999999999999" x14ac:dyDescent="0.3">
      <c r="B6" s="15" t="s">
        <v>61</v>
      </c>
      <c r="C6" s="26"/>
      <c r="D6" s="26"/>
      <c r="E6" s="21">
        <v>150</v>
      </c>
    </row>
    <row r="7" spans="1:9" ht="17.399999999999999" x14ac:dyDescent="0.3">
      <c r="B7" s="15" t="s">
        <v>62</v>
      </c>
      <c r="C7" s="26"/>
      <c r="D7" s="26"/>
      <c r="E7" s="21">
        <v>100</v>
      </c>
    </row>
    <row r="8" spans="1:9" ht="17.399999999999999" x14ac:dyDescent="0.3">
      <c r="B8" s="15" t="s">
        <v>63</v>
      </c>
      <c r="C8" s="26"/>
      <c r="D8" s="26"/>
      <c r="E8" s="21">
        <v>80</v>
      </c>
    </row>
    <row r="9" spans="1:9" ht="17.399999999999999" x14ac:dyDescent="0.3">
      <c r="B9" s="15" t="s">
        <v>64</v>
      </c>
      <c r="C9" s="27"/>
      <c r="D9" s="27"/>
      <c r="E9" s="21">
        <v>50</v>
      </c>
    </row>
    <row r="11" spans="1:9" x14ac:dyDescent="0.25">
      <c r="A11" s="5"/>
    </row>
    <row r="12" spans="1:9" ht="24" customHeight="1" x14ac:dyDescent="0.3">
      <c r="B12" s="8" t="s">
        <v>0</v>
      </c>
      <c r="C12" s="8" t="s">
        <v>59</v>
      </c>
      <c r="D12" s="9" t="s">
        <v>125</v>
      </c>
      <c r="E12" s="8" t="s">
        <v>8</v>
      </c>
      <c r="F12" s="8" t="s">
        <v>11</v>
      </c>
      <c r="G12" s="8" t="s">
        <v>49</v>
      </c>
    </row>
    <row r="13" spans="1:9" ht="17.399999999999999" x14ac:dyDescent="0.3">
      <c r="B13" s="10" t="s">
        <v>50</v>
      </c>
      <c r="C13" s="23">
        <v>36609</v>
      </c>
      <c r="D13" s="23" t="str">
        <f>+TEXT(C13,"YYY")</f>
        <v>2000</v>
      </c>
      <c r="E13" s="12" t="s">
        <v>4</v>
      </c>
      <c r="F13" s="24">
        <v>2000</v>
      </c>
      <c r="G13" s="31"/>
    </row>
    <row r="14" spans="1:9" ht="17.399999999999999" x14ac:dyDescent="0.3">
      <c r="B14" s="10" t="s">
        <v>51</v>
      </c>
      <c r="C14" s="23">
        <v>38710</v>
      </c>
      <c r="D14" s="23" t="str">
        <f t="shared" ref="D14:D21" si="0">+TEXT(C14,"YYY")</f>
        <v>2005</v>
      </c>
      <c r="E14" s="12" t="s">
        <v>10</v>
      </c>
      <c r="F14" s="24">
        <v>1500</v>
      </c>
      <c r="G14" s="31"/>
    </row>
    <row r="15" spans="1:9" ht="17.399999999999999" x14ac:dyDescent="0.3">
      <c r="B15" s="10" t="s">
        <v>52</v>
      </c>
      <c r="C15" s="23">
        <v>36817</v>
      </c>
      <c r="D15" s="23" t="str">
        <f t="shared" si="0"/>
        <v>2000</v>
      </c>
      <c r="E15" s="12" t="s">
        <v>4</v>
      </c>
      <c r="F15" s="24">
        <v>2500</v>
      </c>
      <c r="G15" s="31"/>
      <c r="I15" s="22"/>
    </row>
    <row r="16" spans="1:9" ht="17.399999999999999" x14ac:dyDescent="0.3">
      <c r="B16" s="10" t="s">
        <v>53</v>
      </c>
      <c r="C16" s="23">
        <v>36351</v>
      </c>
      <c r="D16" s="23" t="str">
        <f t="shared" si="0"/>
        <v>1999</v>
      </c>
      <c r="E16" s="12" t="s">
        <v>9</v>
      </c>
      <c r="F16" s="24">
        <v>1500</v>
      </c>
      <c r="G16" s="31"/>
    </row>
    <row r="17" spans="2:7" ht="17.399999999999999" x14ac:dyDescent="0.3">
      <c r="B17" s="10" t="s">
        <v>54</v>
      </c>
      <c r="C17" s="23">
        <v>36932</v>
      </c>
      <c r="D17" s="23" t="str">
        <f t="shared" si="0"/>
        <v>2001</v>
      </c>
      <c r="E17" s="12" t="s">
        <v>10</v>
      </c>
      <c r="F17" s="24">
        <v>1000</v>
      </c>
      <c r="G17" s="31"/>
    </row>
    <row r="18" spans="2:7" ht="17.399999999999999" x14ac:dyDescent="0.3">
      <c r="B18" s="10" t="s">
        <v>55</v>
      </c>
      <c r="C18" s="23">
        <v>30072</v>
      </c>
      <c r="D18" s="23" t="str">
        <f t="shared" si="0"/>
        <v>1982</v>
      </c>
      <c r="E18" s="12" t="s">
        <v>6</v>
      </c>
      <c r="F18" s="24">
        <v>800</v>
      </c>
      <c r="G18" s="31"/>
    </row>
    <row r="19" spans="2:7" ht="17.399999999999999" x14ac:dyDescent="0.3">
      <c r="B19" s="10" t="s">
        <v>56</v>
      </c>
      <c r="C19" s="23">
        <v>31892</v>
      </c>
      <c r="D19" s="23" t="str">
        <f t="shared" si="0"/>
        <v>1987</v>
      </c>
      <c r="E19" s="12" t="s">
        <v>9</v>
      </c>
      <c r="F19" s="24">
        <v>1500</v>
      </c>
      <c r="G19" s="31"/>
    </row>
    <row r="20" spans="2:7" ht="17.399999999999999" x14ac:dyDescent="0.3">
      <c r="B20" s="10" t="s">
        <v>57</v>
      </c>
      <c r="C20" s="23">
        <v>23962</v>
      </c>
      <c r="D20" s="23" t="str">
        <f t="shared" si="0"/>
        <v>1965</v>
      </c>
      <c r="E20" s="12" t="s">
        <v>4</v>
      </c>
      <c r="F20" s="24">
        <v>2000</v>
      </c>
      <c r="G20" s="31"/>
    </row>
    <row r="21" spans="2:7" ht="17.399999999999999" x14ac:dyDescent="0.3">
      <c r="B21" s="10" t="s">
        <v>58</v>
      </c>
      <c r="C21" s="23">
        <v>24379</v>
      </c>
      <c r="D21" s="23" t="str">
        <f t="shared" si="0"/>
        <v>1966</v>
      </c>
      <c r="E21" s="12" t="s">
        <v>10</v>
      </c>
      <c r="F21" s="24">
        <v>1200</v>
      </c>
      <c r="G21" s="31"/>
    </row>
    <row r="32" spans="2:7" x14ac:dyDescent="0.25">
      <c r="E32" s="5"/>
    </row>
    <row r="33" spans="2:5" x14ac:dyDescent="0.25">
      <c r="B33" s="6"/>
      <c r="E33" s="5"/>
    </row>
    <row r="34" spans="2:5" x14ac:dyDescent="0.25">
      <c r="E34" s="5"/>
    </row>
    <row r="35" spans="2:5" x14ac:dyDescent="0.25">
      <c r="B35" s="6"/>
      <c r="C35" s="6"/>
      <c r="D35" s="6"/>
    </row>
    <row r="37" spans="2:5" x14ac:dyDescent="0.25">
      <c r="B3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B9:H31"/>
  <sheetViews>
    <sheetView showGridLines="0" zoomScale="120" zoomScaleNormal="120" workbookViewId="0">
      <selection activeCell="E12" sqref="E12"/>
    </sheetView>
  </sheetViews>
  <sheetFormatPr baseColWidth="10" defaultColWidth="11.5546875" defaultRowHeight="14.4" x14ac:dyDescent="0.3"/>
  <cols>
    <col min="1" max="1" width="5.6640625" style="44" customWidth="1"/>
    <col min="2" max="2" width="22.6640625" style="44" bestFit="1" customWidth="1"/>
    <col min="3" max="3" width="14" style="44" bestFit="1" customWidth="1"/>
    <col min="4" max="4" width="13.109375" style="44" bestFit="1" customWidth="1"/>
    <col min="5" max="5" width="30.44140625" style="44" customWidth="1"/>
    <col min="6" max="6" width="11.5546875" style="44"/>
    <col min="7" max="7" width="12" style="44" bestFit="1" customWidth="1"/>
    <col min="8" max="8" width="14.88671875" style="44" customWidth="1"/>
    <col min="9" max="16384" width="11.5546875" style="44"/>
  </cols>
  <sheetData>
    <row r="9" spans="2:8" ht="19.2" customHeight="1" x14ac:dyDescent="0.3">
      <c r="B9" s="48" t="s">
        <v>93</v>
      </c>
      <c r="C9" s="48" t="s">
        <v>94</v>
      </c>
      <c r="D9" s="48" t="s">
        <v>95</v>
      </c>
      <c r="E9" s="48" t="s">
        <v>69</v>
      </c>
    </row>
    <row r="10" spans="2:8" ht="18.600000000000001" customHeight="1" x14ac:dyDescent="0.3">
      <c r="B10" s="47" t="s">
        <v>19</v>
      </c>
      <c r="C10" s="45" t="s">
        <v>96</v>
      </c>
      <c r="D10" s="45">
        <v>1</v>
      </c>
      <c r="E10" s="46">
        <f>IF(AND(C10="UNIVERSITARIO",D10&gt;2),$H$12,IF(AND(C10="TECNICO",D10&gt;1),$H$13,1000))</f>
        <v>1000</v>
      </c>
    </row>
    <row r="11" spans="2:8" ht="15.6" x14ac:dyDescent="0.3">
      <c r="B11" s="47" t="s">
        <v>98</v>
      </c>
      <c r="C11" s="45" t="s">
        <v>96</v>
      </c>
      <c r="D11" s="45">
        <v>2</v>
      </c>
      <c r="E11" s="46">
        <f t="shared" ref="E11:E31" si="0">IF(AND(C11="UNIVERSITARIO",D11&gt;2),$H$12,IF(AND(C11="TECNICO",D11&gt;1),$H$13,1000))</f>
        <v>1000</v>
      </c>
    </row>
    <row r="12" spans="2:8" ht="15.6" x14ac:dyDescent="0.3">
      <c r="B12" s="47" t="s">
        <v>99</v>
      </c>
      <c r="C12" s="45" t="s">
        <v>97</v>
      </c>
      <c r="D12" s="45">
        <v>3</v>
      </c>
      <c r="E12" s="46">
        <f t="shared" si="0"/>
        <v>4000</v>
      </c>
      <c r="G12" s="49" t="s">
        <v>119</v>
      </c>
      <c r="H12" s="50">
        <v>5000</v>
      </c>
    </row>
    <row r="13" spans="2:8" ht="15.6" x14ac:dyDescent="0.3">
      <c r="B13" s="47" t="s">
        <v>100</v>
      </c>
      <c r="C13" s="45" t="s">
        <v>97</v>
      </c>
      <c r="D13" s="45">
        <v>2</v>
      </c>
      <c r="E13" s="46">
        <f t="shared" si="0"/>
        <v>4000</v>
      </c>
      <c r="G13" s="49" t="s">
        <v>120</v>
      </c>
      <c r="H13" s="50">
        <v>4000</v>
      </c>
    </row>
    <row r="14" spans="2:8" ht="15.6" x14ac:dyDescent="0.3">
      <c r="B14" s="47" t="s">
        <v>101</v>
      </c>
      <c r="C14" s="45" t="s">
        <v>97</v>
      </c>
      <c r="D14" s="45">
        <v>1</v>
      </c>
      <c r="E14" s="46">
        <f t="shared" si="0"/>
        <v>1000</v>
      </c>
    </row>
    <row r="15" spans="2:8" ht="15.6" x14ac:dyDescent="0.3">
      <c r="B15" s="47" t="s">
        <v>102</v>
      </c>
      <c r="C15" s="45" t="s">
        <v>96</v>
      </c>
      <c r="D15" s="45">
        <v>0</v>
      </c>
      <c r="E15" s="46">
        <f t="shared" si="0"/>
        <v>1000</v>
      </c>
    </row>
    <row r="16" spans="2:8" ht="15.6" x14ac:dyDescent="0.3">
      <c r="B16" s="47" t="s">
        <v>103</v>
      </c>
      <c r="C16" s="45" t="s">
        <v>97</v>
      </c>
      <c r="D16" s="45">
        <v>0</v>
      </c>
      <c r="E16" s="46">
        <f t="shared" si="0"/>
        <v>1000</v>
      </c>
    </row>
    <row r="17" spans="2:5" ht="15.6" x14ac:dyDescent="0.3">
      <c r="B17" s="47" t="s">
        <v>104</v>
      </c>
      <c r="C17" s="45" t="s">
        <v>97</v>
      </c>
      <c r="D17" s="45">
        <v>2</v>
      </c>
      <c r="E17" s="46">
        <f t="shared" si="0"/>
        <v>4000</v>
      </c>
    </row>
    <row r="18" spans="2:5" ht="15.6" x14ac:dyDescent="0.3">
      <c r="B18" s="47" t="s">
        <v>105</v>
      </c>
      <c r="C18" s="45" t="s">
        <v>97</v>
      </c>
      <c r="D18" s="45">
        <v>3</v>
      </c>
      <c r="E18" s="46">
        <f t="shared" si="0"/>
        <v>4000</v>
      </c>
    </row>
    <row r="19" spans="2:5" ht="15.6" x14ac:dyDescent="0.3">
      <c r="B19" s="47" t="s">
        <v>106</v>
      </c>
      <c r="C19" s="45" t="s">
        <v>97</v>
      </c>
      <c r="D19" s="45">
        <v>2</v>
      </c>
      <c r="E19" s="46">
        <f t="shared" si="0"/>
        <v>4000</v>
      </c>
    </row>
    <row r="20" spans="2:5" ht="15.6" x14ac:dyDescent="0.3">
      <c r="B20" s="47" t="s">
        <v>107</v>
      </c>
      <c r="C20" s="45" t="s">
        <v>96</v>
      </c>
      <c r="D20" s="45">
        <v>3</v>
      </c>
      <c r="E20" s="46">
        <f t="shared" si="0"/>
        <v>5000</v>
      </c>
    </row>
    <row r="21" spans="2:5" ht="15.6" x14ac:dyDescent="0.3">
      <c r="B21" s="47" t="s">
        <v>108</v>
      </c>
      <c r="C21" s="45" t="s">
        <v>96</v>
      </c>
      <c r="D21" s="45">
        <v>4</v>
      </c>
      <c r="E21" s="46">
        <f t="shared" si="0"/>
        <v>5000</v>
      </c>
    </row>
    <row r="22" spans="2:5" ht="15.6" x14ac:dyDescent="0.3">
      <c r="B22" s="47" t="s">
        <v>109</v>
      </c>
      <c r="C22" s="45" t="s">
        <v>97</v>
      </c>
      <c r="D22" s="45">
        <v>5</v>
      </c>
      <c r="E22" s="46">
        <f t="shared" si="0"/>
        <v>4000</v>
      </c>
    </row>
    <row r="23" spans="2:5" ht="15.6" x14ac:dyDescent="0.3">
      <c r="B23" s="47" t="s">
        <v>110</v>
      </c>
      <c r="C23" s="45" t="s">
        <v>97</v>
      </c>
      <c r="D23" s="45">
        <v>6</v>
      </c>
      <c r="E23" s="46">
        <f t="shared" si="0"/>
        <v>4000</v>
      </c>
    </row>
    <row r="24" spans="2:5" ht="15.6" x14ac:dyDescent="0.3">
      <c r="B24" s="47" t="s">
        <v>111</v>
      </c>
      <c r="C24" s="45" t="s">
        <v>97</v>
      </c>
      <c r="D24" s="45">
        <v>6</v>
      </c>
      <c r="E24" s="46">
        <f t="shared" si="0"/>
        <v>4000</v>
      </c>
    </row>
    <row r="25" spans="2:5" ht="15.6" x14ac:dyDescent="0.3">
      <c r="B25" s="47" t="s">
        <v>112</v>
      </c>
      <c r="C25" s="45" t="s">
        <v>96</v>
      </c>
      <c r="D25" s="45">
        <v>5</v>
      </c>
      <c r="E25" s="46">
        <f t="shared" si="0"/>
        <v>5000</v>
      </c>
    </row>
    <row r="26" spans="2:5" ht="15.6" x14ac:dyDescent="0.3">
      <c r="B26" s="47" t="s">
        <v>113</v>
      </c>
      <c r="C26" s="45" t="s">
        <v>96</v>
      </c>
      <c r="D26" s="45">
        <v>4</v>
      </c>
      <c r="E26" s="46">
        <f t="shared" si="0"/>
        <v>5000</v>
      </c>
    </row>
    <row r="27" spans="2:5" ht="15.6" x14ac:dyDescent="0.3">
      <c r="B27" s="47" t="s">
        <v>114</v>
      </c>
      <c r="C27" s="45" t="s">
        <v>96</v>
      </c>
      <c r="D27" s="45">
        <v>3</v>
      </c>
      <c r="E27" s="46">
        <f t="shared" si="0"/>
        <v>5000</v>
      </c>
    </row>
    <row r="28" spans="2:5" ht="15.6" x14ac:dyDescent="0.3">
      <c r="B28" s="47" t="s">
        <v>115</v>
      </c>
      <c r="C28" s="45" t="s">
        <v>97</v>
      </c>
      <c r="D28" s="45">
        <v>2</v>
      </c>
      <c r="E28" s="46">
        <f t="shared" si="0"/>
        <v>4000</v>
      </c>
    </row>
    <row r="29" spans="2:5" ht="15.6" x14ac:dyDescent="0.3">
      <c r="B29" s="47" t="s">
        <v>116</v>
      </c>
      <c r="C29" s="45" t="s">
        <v>97</v>
      </c>
      <c r="D29" s="45">
        <v>1</v>
      </c>
      <c r="E29" s="46">
        <f t="shared" si="0"/>
        <v>1000</v>
      </c>
    </row>
    <row r="30" spans="2:5" ht="15.6" x14ac:dyDescent="0.3">
      <c r="B30" s="47" t="s">
        <v>117</v>
      </c>
      <c r="C30" s="45" t="s">
        <v>96</v>
      </c>
      <c r="D30" s="45">
        <v>2</v>
      </c>
      <c r="E30" s="46">
        <f t="shared" si="0"/>
        <v>1000</v>
      </c>
    </row>
    <row r="31" spans="2:5" ht="15.6" x14ac:dyDescent="0.3">
      <c r="B31" s="47" t="s">
        <v>118</v>
      </c>
      <c r="C31" s="45" t="s">
        <v>97</v>
      </c>
      <c r="D31" s="45">
        <v>5</v>
      </c>
      <c r="E31" s="46">
        <f t="shared" si="0"/>
        <v>4000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EJEMPLO 01</vt:lpstr>
      <vt:lpstr>EJEMPLO 02</vt:lpstr>
      <vt:lpstr>EJEMPLO 03</vt:lpstr>
      <vt:lpstr>EJEMPLO 04</vt:lpstr>
      <vt:lpstr>EJEMPLO 05</vt:lpstr>
      <vt:lpstr>EJEMPLO 06</vt:lpstr>
      <vt:lpstr>EJEMPLO 07</vt:lpstr>
      <vt:lpstr>EJEMPLO 08</vt:lpstr>
      <vt:lpstr>EJEMPLO 09</vt:lpstr>
      <vt:lpstr>EJEMPLO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117</dc:creator>
  <cp:lastModifiedBy>Pinkie G</cp:lastModifiedBy>
  <dcterms:created xsi:type="dcterms:W3CDTF">1996-01-12T11:40:47Z</dcterms:created>
  <dcterms:modified xsi:type="dcterms:W3CDTF">2026-04-19T21:54:16Z</dcterms:modified>
</cp:coreProperties>
</file>